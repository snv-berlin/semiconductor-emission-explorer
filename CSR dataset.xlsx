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filterPrivacy="1"/>
  <xr:revisionPtr revIDLastSave="102" documentId="8_{8C6F3838-0720-7C40-BBA4-708791D943F1}" xr6:coauthVersionLast="47" xr6:coauthVersionMax="47" xr10:uidLastSave="{B23BF09D-016E-8740-94E1-8C230ECB9440}"/>
  <bookViews>
    <workbookView xWindow="0" yWindow="740" windowWidth="29400" windowHeight="17160" tabRatio="500" xr2:uid="{00000000-000D-0000-FFFF-FFFF00000000}"/>
  </bookViews>
  <sheets>
    <sheet name="interface data" sheetId="3" r:id="rId1"/>
  </sheets>
  <definedNames>
    <definedName name="_xlnm._FilterDatabase" localSheetId="0" hidden="1">'interface data'!$A$1:$G$280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291" i="3" l="1"/>
  <c r="C290" i="3"/>
  <c r="C289" i="3"/>
  <c r="C288" i="3"/>
  <c r="C287" i="3"/>
  <c r="C280" i="3"/>
  <c r="C274" i="3"/>
  <c r="C273" i="3"/>
  <c r="C272" i="3"/>
  <c r="C271" i="3"/>
  <c r="C270" i="3"/>
  <c r="C269" i="3"/>
  <c r="C268" i="3"/>
  <c r="C267" i="3"/>
  <c r="C266" i="3"/>
  <c r="C265" i="3"/>
  <c r="C264" i="3"/>
  <c r="C263" i="3"/>
  <c r="C262" i="3"/>
  <c r="G271" i="3"/>
  <c r="G268" i="3"/>
  <c r="G269" i="3"/>
  <c r="G270" i="3"/>
  <c r="E271" i="3"/>
  <c r="E268" i="3"/>
  <c r="E269" i="3"/>
  <c r="D271" i="3"/>
  <c r="D268" i="3"/>
  <c r="D269" i="3"/>
  <c r="D270" i="3"/>
  <c r="C31" i="3"/>
  <c r="C250" i="3"/>
  <c r="C251" i="3"/>
  <c r="E209" i="3"/>
  <c r="C140" i="3"/>
  <c r="E130" i="3"/>
  <c r="E129" i="3"/>
  <c r="E131" i="3"/>
  <c r="C131" i="3"/>
  <c r="C130" i="3"/>
  <c r="G101" i="3"/>
  <c r="E101" i="3"/>
  <c r="D101" i="3"/>
  <c r="D97" i="3"/>
  <c r="G97" i="3" s="1"/>
  <c r="D98" i="3"/>
  <c r="D99" i="3"/>
  <c r="D100" i="3"/>
  <c r="G237" i="3"/>
  <c r="D62" i="3"/>
  <c r="C200" i="3"/>
  <c r="E219" i="3"/>
  <c r="E220" i="3"/>
  <c r="D219" i="3"/>
  <c r="D220" i="3"/>
  <c r="C221" i="3"/>
  <c r="C220" i="3"/>
  <c r="G241" i="3"/>
  <c r="C121" i="3"/>
  <c r="C134" i="3"/>
  <c r="E16" i="3"/>
  <c r="C20" i="3"/>
  <c r="C219" i="3"/>
  <c r="C216" i="3"/>
  <c r="C208" i="3"/>
  <c r="C197" i="3"/>
  <c r="C32" i="3"/>
  <c r="D156" i="3"/>
  <c r="E128" i="3"/>
  <c r="D23" i="3"/>
  <c r="C25" i="3"/>
  <c r="C12" i="3"/>
  <c r="C13" i="3"/>
  <c r="C14" i="3"/>
  <c r="C110" i="3"/>
  <c r="E92" i="3"/>
  <c r="E93" i="3"/>
  <c r="E94" i="3"/>
  <c r="D92" i="3"/>
  <c r="D93" i="3"/>
  <c r="D94" i="3"/>
  <c r="D95" i="3"/>
  <c r="D96" i="3"/>
  <c r="C98" i="3"/>
  <c r="C99" i="3"/>
  <c r="C100" i="3"/>
  <c r="G50" i="3"/>
  <c r="G49" i="3"/>
  <c r="E127" i="3"/>
  <c r="C83" i="3"/>
  <c r="C84" i="3"/>
  <c r="C85" i="3"/>
  <c r="C86" i="3"/>
  <c r="C87" i="3"/>
  <c r="C88" i="3"/>
  <c r="C89" i="3"/>
  <c r="C82" i="3"/>
  <c r="C90" i="3"/>
  <c r="F62" i="3"/>
  <c r="C33" i="3"/>
  <c r="D154" i="3"/>
  <c r="D155" i="3"/>
  <c r="C249" i="3"/>
  <c r="G238" i="3"/>
  <c r="G239" i="3"/>
  <c r="G240" i="3"/>
  <c r="C214" i="3"/>
  <c r="C212" i="3"/>
  <c r="C213" i="3"/>
  <c r="C215" i="3"/>
  <c r="C217" i="3"/>
  <c r="C218" i="3"/>
  <c r="C195" i="3"/>
  <c r="C196" i="3"/>
  <c r="C199" i="3"/>
  <c r="E189" i="3"/>
  <c r="E190" i="3"/>
  <c r="D190" i="3"/>
  <c r="E140" i="3"/>
  <c r="E22" i="3"/>
  <c r="E23" i="3"/>
  <c r="E24" i="3"/>
  <c r="E29" i="3"/>
  <c r="E28" i="3"/>
  <c r="E27" i="3"/>
  <c r="E26" i="3"/>
  <c r="E25" i="3"/>
  <c r="D22" i="3"/>
  <c r="D24" i="3"/>
  <c r="D25" i="3"/>
  <c r="D26" i="3"/>
  <c r="D27" i="3"/>
  <c r="D28" i="3"/>
  <c r="D29" i="3"/>
  <c r="C30" i="3"/>
  <c r="C22" i="3"/>
  <c r="C23" i="3"/>
  <c r="C24" i="3"/>
  <c r="C26" i="3"/>
  <c r="C27" i="3"/>
  <c r="C28" i="3"/>
  <c r="C29" i="3"/>
  <c r="E12" i="3"/>
  <c r="D12" i="3"/>
  <c r="D13" i="3"/>
  <c r="D16" i="3"/>
  <c r="G98" i="3"/>
  <c r="G99" i="3"/>
  <c r="G100" i="3"/>
  <c r="C97" i="3"/>
  <c r="G276" i="3"/>
  <c r="G275" i="3"/>
  <c r="G277" i="3"/>
  <c r="F275" i="3"/>
  <c r="F276" i="3"/>
  <c r="F277" i="3"/>
  <c r="F278" i="3"/>
  <c r="F279" i="3"/>
  <c r="F280" i="3"/>
  <c r="E280" i="3"/>
  <c r="E270" i="3"/>
  <c r="C259" i="3"/>
  <c r="C260" i="3"/>
  <c r="C129" i="3"/>
  <c r="C128" i="3"/>
  <c r="C127" i="3"/>
  <c r="C126" i="3"/>
  <c r="C125" i="3"/>
  <c r="C124" i="3"/>
  <c r="C123" i="3"/>
  <c r="C122" i="3"/>
  <c r="G13" i="3"/>
  <c r="G20" i="3"/>
  <c r="E13" i="3"/>
  <c r="E14" i="3"/>
  <c r="E15" i="3"/>
  <c r="D14" i="3"/>
  <c r="D15" i="3"/>
  <c r="G22" i="3"/>
  <c r="D189" i="3" l="1"/>
  <c r="E200" i="3"/>
  <c r="E195" i="3"/>
  <c r="E196" i="3"/>
  <c r="E197" i="3"/>
  <c r="D195" i="3"/>
  <c r="D196" i="3"/>
  <c r="D197" i="3"/>
  <c r="D199" i="3"/>
  <c r="D200" i="3"/>
  <c r="C207" i="3"/>
  <c r="D209" i="3"/>
  <c r="D210" i="3"/>
  <c r="E215" i="3"/>
  <c r="E216" i="3"/>
  <c r="E218" i="3"/>
  <c r="E217" i="3"/>
  <c r="D212" i="3"/>
  <c r="D213" i="3"/>
  <c r="D214" i="3"/>
  <c r="D215" i="3"/>
  <c r="D216" i="3"/>
  <c r="D217" i="3"/>
  <c r="D218"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tc={7D31A8C9-03ED-43A4-85C6-0564AE685B05}</author>
    <author>tc={66AE1773-DEA2-441B-B55A-785EB35DDBBC}</author>
    <author>tc={CE2CE7DE-701C-C543-A08F-00FD19FB58EF}</author>
    <author>tc={4270C82E-4954-EA4E-AC1C-EBB0BD4B607A}</author>
    <author>tc={3BAD53B6-E22D-4204-A039-304D59A28844}</author>
    <author>tc={794C6625-4099-4FE4-BCC3-C32C900C9367}</author>
    <author>tc={F8F7632F-7849-4988-B1E1-AE433D7F25EE}</author>
    <author>tc={FD644647-26E7-4142-B9EC-F5B6E5E03270}</author>
    <author>tc={0FE507C7-9CEC-42B7-A354-36B992A7FECF}</author>
    <author>tc={1EFA1D30-B0CB-4795-BF04-7AD974428BE3}</author>
    <author>tc={7BB0E87A-56ED-4C61-9C16-25CC111916F4}</author>
    <author>tc={83E8E11D-C756-4F4E-AC0B-64A436E5952D}</author>
    <author>tc={7C42EFA5-7510-42E4-A6AF-1338DC807134}</author>
    <author>tc={8AE8575F-D7D3-471F-A544-C505217B681E}</author>
    <author>tc={100EE336-90E9-4EBB-AD92-E5D8F4766A8C}</author>
    <author>tc={AF1D92E3-D000-48DC-9006-143D52542267}</author>
    <author>tc={D7A28AC6-7DAA-40ED-8A1F-C2C3156692E6}</author>
    <author>tc={83412C97-0112-46B5-8AEE-1F46B4C520F6}</author>
    <author>tc={0F0B7CDD-50C0-47C3-A80C-09EFBD9B4E6F}</author>
    <author>tc={F0E35352-CADC-46AE-803F-8C8C1C286157}</author>
    <author>tc={C4FF4B71-DC98-40AD-BD08-CDFA811BBFF0}</author>
    <author>tc={8259ADF4-9C37-40CC-AA44-F16CF92C7D69}</author>
    <author>tc={6AA956A6-5025-4CFD-9384-30AF20219409}</author>
    <author>tc={60B875A5-84E7-41EC-8FCA-09DA78D15179}</author>
    <author>tc={43AA9BB7-BCC0-42C7-9AC2-52B7B5E36E86}</author>
    <author>tc={7D1795C0-FFD8-4253-82F1-B332B6D54865}</author>
    <author>tc={591F7062-8BA1-4047-9FD2-A545BBFE09A0}</author>
    <author>tc={B55BE64C-CF92-44C7-93EB-836E361C10B1}</author>
    <author>tc={DFD455F1-C4F4-4921-A44A-AC20BBFC81C4}</author>
    <author>tc={7BA2E7A1-68F9-4E9A-BF7C-E3B607702E02}</author>
    <author>tc={813AED52-3C04-45D8-956D-327E9DF73675}</author>
    <author>tc={F9A587F8-98CB-4956-8505-1E73FACB401B}</author>
    <author>tc={861626E6-89DB-43F2-A7C5-909195905AEA}</author>
    <author>tc={960101B6-983C-447D-86CB-B6E44F882AF3}</author>
    <author>tc={F86E90C9-2F2A-44F4-B417-E85B2D073A3D}</author>
    <author>tc={00187D31-BCE1-483F-A147-6BBE20DDA14E}</author>
    <author>tc={42299DF4-5CD8-4E9A-9CA4-AB2506A2537A}</author>
    <author>tc={3096BF4D-BBE1-44FC-9110-F6C623A29282}</author>
    <author>tc={5CAA6A06-FBAB-49BF-B55D-930996229047}</author>
    <author>tc={6F28ABCC-69AB-4253-B885-E7E2EDB854B2}</author>
    <author>tc={6B861E74-737E-4235-82DA-6F083E11606A}</author>
    <author>tc={9B3365AF-B51E-4E28-846D-547906E46EA7}</author>
    <author>tc={D723DB2A-6488-4DFF-B983-312926FA803E}</author>
    <author>tc={D2901F45-EB56-4532-A9B2-3CB2B4F5EF97}</author>
    <author>tc={5DCD3367-D708-4117-93A0-94AA420A3B3C}</author>
    <author>tc={1712A09C-3CD3-4A3F-B30A-9D29E722EF85}</author>
    <author>tc={57B6CA64-DF7F-45C0-B9DE-362CCBEFA4E9}</author>
    <author>tc={FCF393E4-2E3D-44A2-B472-BEB33CD460AF}</author>
    <author>tc={D83B3922-F920-4746-B31A-94C463AEDCFD}</author>
    <author>tc={14BA14FE-DFC5-423C-8F11-75BC417891CB}</author>
    <author>tc={DA4EEA04-0AFA-43F4-8F7F-70FD6B9E5011}</author>
    <author>tc={E45B9D35-EA87-45F8-A8CE-30370411E112}</author>
    <author>tc={946B3481-4FB6-46E2-B384-6E7B52EE8C67}</author>
    <author>tc={C6B57048-F41E-4A1A-84B2-16BA02F848C0}</author>
    <author>tc={786DF877-3FC9-468D-88B1-F29BA2A2691C}</author>
    <author>tc={85120FAF-9A70-4711-8753-2A38FEBDDCBA}</author>
    <author>tc={4DAF8665-BC49-4C33-8EB9-0B62122817ED}</author>
    <author>tc={56FEB8C1-807C-4E70-B5B7-27CF8820A1B6}</author>
    <author>tc={474EFFD7-B13D-C442-96B7-6C349E25CB3A}</author>
    <author>tc={598330B6-D53E-4FEB-BDD7-7B1C0A05A1B5}</author>
    <author>tc={201D5A76-71C8-4B4D-BD34-871FB36558A8}</author>
    <author>tc={A24773EC-CFEF-4156-9A5F-F925B1ACC78B}</author>
    <author>tc={DA8EB1C5-7650-8546-BEA3-5078762ED690}</author>
    <author>tc={8801ADEF-8D81-4C07-B685-F9BCA67D86DE}</author>
    <author>tc={1B8927BA-6096-44D6-9816-2EF06641779B}</author>
    <author>tc={B25E8702-9B21-474A-BA26-E8C486234BC4}</author>
    <author>tc={D382506C-5B5D-4027-B308-6943AEBBF960}</author>
    <author>tc={3CDACC77-91C4-423D-88FF-5BA0062F20BD}</author>
    <author>tc={39A7F24B-71F0-40E8-8290-9D82B677A562}</author>
    <author>tc={3605BD07-5882-458C-96E0-4D72D543FAC1}</author>
    <author>tc={2F963ADA-25F1-430F-8514-DD9C414D5C4E}</author>
    <author>tc={F1BBC9A0-DB90-4124-9F21-A532C99F1E9A}</author>
    <author>tc={C057D7D8-7746-4B1E-A3EE-0A0F7AB837CD}</author>
    <author>tc={F2FF2381-6400-457F-B2E1-6555790BC568}</author>
    <author>tc={237C1DED-C418-4702-A31E-F9129AA32624}</author>
    <author>tc={6C2BD967-1A6E-41EA-9FCD-2CB8B74A65C1}</author>
    <author>tc={6CB5AA04-D8E8-4810-B4AA-B83571C5FEDB}</author>
    <author>tc={1E672629-29B0-4532-96C4-706FD6D26F36}</author>
    <author>tc={84920A94-E590-4518-A7DF-539AD0184EC3}</author>
    <author>tc={9BD22134-AAE3-4193-8592-33ADF47F0827}</author>
    <author>tc={B89BBE51-922D-4940-AB38-F52689B53B16}</author>
    <author>tc={4F6A78F7-3705-4778-8E53-298867F7FFA6}</author>
    <author>tc={539F7BA0-57C4-4DB5-8A9F-EF71246F4729}</author>
    <author>tc={21BC1F30-9327-4ED4-A49C-EAC9FAFF0FBF}</author>
    <author>tc={07A157E0-F238-4F86-8B35-ED3C74589349}</author>
    <author>tc={3E0A2C88-F4C6-6343-A23F-FEE54B9B760A}</author>
    <author>tc={64572811-4E22-4072-8CB6-DD517B12DC06}</author>
    <author>tc={2B3AB28D-56D9-471E-9C92-0108BB71EA6D}</author>
    <author>tc={087E8C01-A9E1-4D17-A582-56583EA9AAAA}</author>
    <author>tc={79E5FA86-80F0-4D8B-8FA5-115EF35E439D}</author>
    <author>tc={677682BE-00CC-B547-AF56-8F95302A4D5E}</author>
    <author>tc={F34BA0FA-F759-4930-9A6C-21BEF12DAF1C}</author>
  </authors>
  <commentList>
    <comment ref="F4" authorId="0" shapeId="0" xr:uid="{7D31A8C9-03ED-43A4-85C6-0564AE685B05}">
      <text>
        <t>[Threaded comment]
Your version of Excel allows you to read this threaded comment; however, any edits to it will get removed if the file is opened in a newer version of Excel. Learn more: https://go.microsoft.com/fwlink/?linkid=870924
Comment:
    2016-2017: These values are provided in the 2020 CSR Report, but we can confidently conclude that it is a typo since the values are identical to the Scope 2 Market-based emissions for exclusively the subsidiaries (found in the row directly above)</t>
      </text>
    </comment>
    <comment ref="D10" authorId="1" shapeId="0" xr:uid="{66AE1773-DEA2-441B-B55A-785EB35DDBBC}">
      <text>
        <t>[Threaded comment]
Your version of Excel allows you to read this threaded comment; however, any edits to it will get removed if the file is opened in a newer version of Excel. Learn more: https://go.microsoft.com/fwlink/?linkid=870924
Comment:
    For all years: Subsidiaries are included</t>
      </text>
    </comment>
    <comment ref="D11" authorId="2" shapeId="0" xr:uid="{CE2CE7DE-701C-C543-A08F-00FD19FB58EF}">
      <text>
        <t>[Threaded comment]
Your version of Excel allows you to read this threaded comment; however, any edits to it will get removed if the file is opened in a newer version of Excel. Learn more: https://go.microsoft.com/fwlink/?linkid=870924
Comment:
    For all years: Subsidiaries are included</t>
      </text>
    </comment>
    <comment ref="E11" authorId="3" shapeId="0" xr:uid="{4270C82E-4954-EA4E-AC1C-EBB0BD4B607A}">
      <text>
        <t>[Threaded comment]
Your version of Excel allows you to read this threaded comment; however, any edits to it will get removed if the file is opened in a newer version of Excel. Learn more: https://go.microsoft.com/fwlink/?linkid=870924
Comment:
    For all years: Subsidiaries are included</t>
      </text>
    </comment>
    <comment ref="C20" authorId="4" shapeId="0" xr:uid="{3BAD53B6-E22D-4204-A039-304D59A28844}">
      <text>
        <t>[Threaded comment]
Your version of Excel allows you to read this threaded comment; however, any edits to it will get removed if the file is opened in a newer version of Excel. Learn more: https://go.microsoft.com/fwlink/?linkid=870924
Comment:
    For all years: Energy values are energy consumed, including renewable energy.
For all years: Subsidiaries are not included
Energy value for 2023 including subsidiaries is 4060,941 GWh. This is for UMC Group including HJ, USCXM, Wavetek, and USJC.</t>
      </text>
    </comment>
    <comment ref="D20" authorId="5" shapeId="0" xr:uid="{794C6625-4099-4FE4-BCC3-C32C900C9367}">
      <text>
        <t xml:space="preserve">[Threaded comment]
Your version of Excel allows you to read this threaded comment; however, any edits to it will get removed if the file is opened in a newer version of Excel. Learn more: https://go.microsoft.com/fwlink/?linkid=870924
Comment:
    For all years: Subsidiaries are included </t>
      </text>
    </comment>
    <comment ref="E20" authorId="6" shapeId="0" xr:uid="{F8F7632F-7849-4988-B1E1-AE433D7F25EE}">
      <text>
        <t xml:space="preserve">[Threaded comment]
Your version of Excel allows you to read this threaded comment; however, any edits to it will get removed if the file is opened in a newer version of Excel. Learn more: https://go.microsoft.com/fwlink/?linkid=870924
Comment:
    For all years: Subsidiaries are included </t>
      </text>
    </comment>
    <comment ref="G20" authorId="7" shapeId="0" xr:uid="{FD644647-26E7-4142-B9EC-F5B6E5E03270}">
      <text>
        <t xml:space="preserve">[Threaded comment]
Your version of Excel allows you to read this threaded comment; however, any edits to it will get removed if the file is opened in a newer version of Excel. Learn more: https://go.microsoft.com/fwlink/?linkid=870924
Comment:
    For all years: Subsidiaries are not included </t>
      </text>
    </comment>
    <comment ref="D26" authorId="8" shapeId="0" xr:uid="{0FE507C7-9CEC-42B7-A354-36B992A7FECF}">
      <text>
        <t>[Threaded comment]
Your version of Excel allows you to read this threaded comment; however, any edits to it will get removed if the file is opened in a newer version of Excel. Learn more: https://go.microsoft.com/fwlink/?linkid=870924
Comment:
    "Our combined Scope 1 (direct) and Scope 2 (indirect) GHG emissions decreased 43% on an absolute basis in 2023 from the 2019 baseline. In 2023, we recalculated our GHG emissions for the 2019 baseline year and going forward to incorporate refinements in emission factors used in our GHG inventory and amendments to calculation parameters based on the most recent data available and industry best practices."</t>
      </text>
    </comment>
    <comment ref="C33" authorId="9" shapeId="0" xr:uid="{1EFA1D30-B0CB-4795-BF04-7AD974428BE3}">
      <text>
        <t>[Threaded comment]
Your version of Excel allows you to read this threaded comment; however, any edits to it will get removed if the file is opened in a newer version of Excel. Learn more: https://go.microsoft.com/fwlink/?linkid=870924
Comment:
    2015-2016: Converted MMBtu to GWh</t>
      </text>
    </comment>
    <comment ref="D39" authorId="10" shapeId="0" xr:uid="{7BB0E87A-56ED-4C61-9C16-25CC111916F4}">
      <text>
        <t>[Threaded comment]
Your version of Excel allows you to read this threaded comment; however, any edits to it will get removed if the file is opened in a newer version of Excel. Learn more: https://go.microsoft.com/fwlink/?linkid=870924
Comment:
    TI has not included fluorinated heat transfer fluids (FHTF) in previous Corporate Citizenship Reports due to the varying calculation methodologies and guidance. Under current World Semiconductor Council (WSC) reporting guidance, the association that tracks semiconductor emissions, there is no requirement to track and report FHTF. Recently introduced U.S. Environmental Protection Agency (EPA) rules for disclosure to the EPA included FHTF and we comply with this requirement. Recently, the WSC has aligned on all regions will moving to 2019 Intergovernmental Panel on Climate Change (IPCC) guidance, which includes FHTF. TI is considering the timing of a transition to the 2019 IPCC guidance and will include FHTF emissions upon adoption.</t>
      </text>
    </comment>
    <comment ref="G40" authorId="11" shapeId="0" xr:uid="{83E8E11D-C756-4F4E-AC0B-64A436E5952D}">
      <text>
        <t xml:space="preserve">[Threaded comment]
Your version of Excel allows you to read this threaded comment; however, any edits to it will get removed if the file is opened in a newer version of Excel. Learn more: https://go.microsoft.com/fwlink/?linkid=870924
Comment:
    "TI reports scope 3 emissions for business travel in its annual CDP survey. In 2024, we will engage a third party to conduct a full accounting and analysis of all applicable upstream and downstream scope 3 categories. TI plans to begin reporting additional relevant scope 3 emission categories in 2025."
Reply:
    updated based on CSR 2024 report </t>
      </text>
    </comment>
    <comment ref="D47" authorId="12" shapeId="0" xr:uid="{7C42EFA5-7510-42E4-A6AF-1338DC807134}">
      <text>
        <t>[Threaded comment]
Your version of Excel allows you to read this threaded comment; however, any edits to it will get removed if the file is opened in a newer version of Excel. Learn more: https://go.microsoft.com/fwlink/?linkid=870924
Comment:
    GHG Protocol and IPCC Guidelines, 2019</t>
      </text>
    </comment>
    <comment ref="E47" authorId="13" shapeId="0" xr:uid="{8AE8575F-D7D3-471F-A544-C505217B681E}">
      <text>
        <t>[Threaded comment]
Your version of Excel allows you to read this threaded comment; however, any edits to it will get removed if the file is opened in a newer version of Excel. Learn more: https://go.microsoft.com/fwlink/?linkid=870924
Comment:
    GHG Protocol and IPCC Guidelines, 2019</t>
      </text>
    </comment>
    <comment ref="C48" authorId="14" shapeId="0" xr:uid="{100EE336-90E9-4EBB-AD92-E5D8F4766A8C}">
      <text>
        <t>[Threaded comment]
Your version of Excel allows you to read this threaded comment; however, any edits to it will get removed if the file is opened in a newer version of Excel. Learn more: https://go.microsoft.com/fwlink/?linkid=870924
Comment:
    2020-2021: Data revised from prior annual disclosures to reflect the divestiture of Lehi, Utah, operations</t>
      </text>
    </comment>
    <comment ref="D48" authorId="15" shapeId="0" xr:uid="{AF1D92E3-D000-48DC-9006-143D52542267}">
      <text>
        <t>[Threaded comment]
Your version of Excel allows you to read this threaded comment; however, any edits to it will get removed if the file is opened in a newer version of Excel. Learn more: https://go.microsoft.com/fwlink/?linkid=870924
Comment:
    GHG Protocol and IPCC Guidelines, 2006
2020-2021: Data revised from prior annual disclosures to reflect the divestiture of Lehi, Utah, operations</t>
      </text>
    </comment>
    <comment ref="E48" authorId="16" shapeId="0" xr:uid="{D7A28AC6-7DAA-40ED-8A1F-C2C3156692E6}">
      <text>
        <t>[Threaded comment]
Your version of Excel allows you to read this threaded comment; however, any edits to it will get removed if the file is opened in a newer version of Excel. Learn more: https://go.microsoft.com/fwlink/?linkid=870924
Comment:
    GHG Protocol and IPCC Guidelines,  2006
2020-2021: Data revised from prior annual disclosures to reflect the divestiture of Lehi, Utah, operations</t>
      </text>
    </comment>
    <comment ref="D49" authorId="17" shapeId="0" xr:uid="{83412C97-0112-46B5-8AEE-1F46B4C520F6}">
      <text>
        <t>[Threaded comment]
Your version of Excel allows you to read this threaded comment; however, any edits to it will get removed if the file is opened in a newer version of Excel. Learn more: https://go.microsoft.com/fwlink/?linkid=870924
Comment:
    GHG Protocol and IPCC Guidelines,  2019</t>
      </text>
    </comment>
    <comment ref="E49" authorId="18" shapeId="0" xr:uid="{0F0B7CDD-50C0-47C3-A80C-09EFBD9B4E6F}">
      <text>
        <t xml:space="preserve">[Threaded comment]
Your version of Excel allows you to read this threaded comment; however, any edits to it will get removed if the file is opened in a newer version of Excel. Learn more: https://go.microsoft.com/fwlink/?linkid=870924
Comment:
    GHG Protocol and IPCC Guidelines,  2019 </t>
      </text>
    </comment>
    <comment ref="C50" authorId="19" shapeId="0" xr:uid="{F0E35352-CADC-46AE-803F-8C8C1C286157}">
      <text>
        <t>[Threaded comment]
Your version of Excel allows you to read this threaded comment; however, any edits to it will get removed if the file is opened in a newer version of Excel. Learn more: https://go.microsoft.com/fwlink/?linkid=870924
Comment:
    Checked values from the past which didn't undergo recalculation within the 2025 report are highlighted in green</t>
      </text>
    </comment>
    <comment ref="D50" authorId="20" shapeId="0" xr:uid="{C4FF4B71-DC98-40AD-BD08-CDFA811BBFF0}">
      <text>
        <t>[Threaded comment]
Your version of Excel allows you to read this threaded comment; however, any edits to it will get removed if the file is opened in a newer version of Excel. Learn more: https://go.microsoft.com/fwlink/?linkid=870924
Comment:
    GHG Protocol and IPCC Guidelines,  2006</t>
      </text>
    </comment>
    <comment ref="E50" authorId="21" shapeId="0" xr:uid="{8259ADF4-9C37-40CC-AA44-F16CF92C7D69}">
      <text>
        <t>[Threaded comment]
Your version of Excel allows you to read this threaded comment; however, any edits to it will get removed if the file is opened in a newer version of Excel. Learn more: https://go.microsoft.com/fwlink/?linkid=870924
Comment:
    GHG Protocol and IPCC Guidelines, 2006</t>
      </text>
    </comment>
    <comment ref="F50" authorId="22" shapeId="0" xr:uid="{6AA956A6-5025-4CFD-9384-30AF20219409}">
      <text>
        <t>[Threaded comment]
Your version of Excel allows you to read this threaded comment; however, any edits to it will get removed if the file is opened in a newer version of Excel. Learn more: https://go.microsoft.com/fwlink/?linkid=870924
Comment:
    For all years: Data found in CDP responses</t>
      </text>
    </comment>
    <comment ref="G50" authorId="23" shapeId="0" xr:uid="{60B875A5-84E7-41EC-8FCA-09DA78D15179}">
      <text>
        <t>[Threaded comment]
Your version of Excel allows you to read this threaded comment; however, any edits to it will get removed if the file is opened in a newer version of Excel. Learn more: https://go.microsoft.com/fwlink/?linkid=870924
Comment:
    For all years: Data found in CDP responses</t>
      </text>
    </comment>
    <comment ref="D51" authorId="24" shapeId="0" xr:uid="{43AA9BB7-BCC0-42C7-9AC2-52B7B5E36E86}">
      <text>
        <t>[Threaded comment]
Your version of Excel allows you to read this threaded comment; however, any edits to it will get removed if the file is opened in a newer version of Excel. Learn more: https://go.microsoft.com/fwlink/?linkid=870924
Comment:
    GHG protocol and IPCC Guidelines, 2019</t>
      </text>
    </comment>
    <comment ref="E51" authorId="25" shapeId="0" xr:uid="{7D1795C0-FFD8-4253-82F1-B332B6D54865}">
      <text>
        <t>[Threaded comment]
Your version of Excel allows you to read this threaded comment; however, any edits to it will get removed if the file is opened in a newer version of Excel. Learn more: https://go.microsoft.com/fwlink/?linkid=870924
Comment:
    GHG Protocol and IPCC guidelines, 2019</t>
      </text>
    </comment>
    <comment ref="D52" authorId="26" shapeId="0" xr:uid="{591F7062-8BA1-4047-9FD2-A545BBFE09A0}">
      <text>
        <t>[Threaded comment]
Your version of Excel allows you to read this threaded comment; however, any edits to it will get removed if the file is opened in a newer version of Excel. Learn more: https://go.microsoft.com/fwlink/?linkid=870924
Comment:
    Aggregate Scope 1+Scope 2: 1241000</t>
      </text>
    </comment>
    <comment ref="E52" authorId="27" shapeId="0" xr:uid="{B55BE64C-CF92-44C7-93EB-836E361C10B1}">
      <text>
        <t>[Threaded comment]
Your version of Excel allows you to read this threaded comment; however, any edits to it will get removed if the file is opened in a newer version of Excel. Learn more: https://go.microsoft.com/fwlink/?linkid=870924
Comment:
    Aggregate Scope 1+Scope 2: 1241000</t>
      </text>
    </comment>
    <comment ref="D53" authorId="28" shapeId="0" xr:uid="{DFD455F1-C4F4-4921-A44A-AC20BBFC81C4}">
      <text>
        <t>[Threaded comment]
Your version of Excel allows you to read this threaded comment; however, any edits to it will get removed if the file is opened in a newer version of Excel. Learn more: https://go.microsoft.com/fwlink/?linkid=870924
Comment:
    Aggregate Scope 1+Scope 2: 1404000</t>
      </text>
    </comment>
    <comment ref="E53" authorId="29" shapeId="0" xr:uid="{7BA2E7A1-68F9-4E9A-BF7C-E3B607702E02}">
      <text>
        <t>[Threaded comment]
Your version of Excel allows you to read this threaded comment; however, any edits to it will get removed if the file is opened in a newer version of Excel. Learn more: https://go.microsoft.com/fwlink/?linkid=870924
Comment:
    Aggregate Scope 1+Scope 2: 1404000</t>
      </text>
    </comment>
    <comment ref="D54" authorId="30" shapeId="0" xr:uid="{813AED52-3C04-45D8-956D-327E9DF73675}">
      <text>
        <t>[Threaded comment]
Your version of Excel allows you to read this threaded comment; however, any edits to it will get removed if the file is opened in a newer version of Excel. Learn more: https://go.microsoft.com/fwlink/?linkid=870924
Comment:
    Found in "Third Party Verification" in the 2019 CSR report on page 121</t>
      </text>
    </comment>
    <comment ref="E54" authorId="31" shapeId="0" xr:uid="{F9A587F8-98CB-4956-8505-1E73FACB401B}">
      <text>
        <t>[Threaded comment]
Your version of Excel allows you to read this threaded comment; however, any edits to it will get removed if the file is opened in a newer version of Excel. Learn more: https://go.microsoft.com/fwlink/?linkid=870924
Comment:
    Found in "Third Party Verification" in the 2019 CSR report on page 121</t>
      </text>
    </comment>
    <comment ref="C55" authorId="32" shapeId="0" xr:uid="{861626E6-89DB-43F2-A7C5-909195905AEA}">
      <text>
        <t>[Threaded comment]
Your version of Excel allows you to read this threaded comment; however, any edits to it will get removed if the file is opened in a newer version of Excel. Learn more: https://go.microsoft.com/fwlink/?linkid=870924
Comment:
    Approximated value from a chart in the 2021 CSR report on page 67</t>
      </text>
    </comment>
    <comment ref="C56" authorId="33" shapeId="0" xr:uid="{960101B6-983C-447D-86CB-B6E44F882AF3}">
      <text>
        <t>[Threaded comment]
Your version of Excel allows you to read this threaded comment; however, any edits to it will get removed if the file is opened in a newer version of Excel. Learn more: https://go.microsoft.com/fwlink/?linkid=870924
Comment:
    Approximated value from a chart in the 2021 CSR report on page 67</t>
      </text>
    </comment>
    <comment ref="D62" authorId="34" shapeId="0" xr:uid="{F86E90C9-2F2A-44F4-B417-E85B2D073A3D}">
      <text>
        <t>[Threaded comment]
Your version of Excel allows you to read this threaded comment; however, any edits to it will get removed if the file is opened in a newer version of Excel. Learn more: https://go.microsoft.com/fwlink/?linkid=870924
Comment:
    Converted MTCE to MTCO2</t>
      </text>
    </comment>
    <comment ref="F62" authorId="35" shapeId="0" xr:uid="{00187D31-BCE1-483F-A147-6BBE20DDA14E}">
      <text>
        <t>[Threaded comment]
Your version of Excel allows you to read this threaded comment; however, any edits to it will get removed if the file is opened in a newer version of Excel. Learn more: https://go.microsoft.com/fwlink/?linkid=870924
Comment:
    Converted MTCE to MTCO2</t>
      </text>
    </comment>
    <comment ref="G68" authorId="36" shapeId="0" xr:uid="{42299DF4-5CD8-4E9A-9CA4-AB2506A2537A}">
      <text>
        <t>[Threaded comment]
Your version of Excel allows you to read this threaded comment; however, any edits to it will get removed if the file is opened in a newer version of Excel. Learn more: https://go.microsoft.com/fwlink/?linkid=870924
Comment:
    2019-2021: Only Business travel reported</t>
      </text>
    </comment>
    <comment ref="D69" authorId="37" shapeId="0" xr:uid="{3096BF4D-BBE1-44FC-9110-F6C623A29282}">
      <text>
        <t>[Threaded comment]
Your version of Excel allows you to read this threaded comment; however, any edits to it will get removed if the file is opened in a newer version of Excel. Learn more: https://go.microsoft.com/fwlink/?linkid=870924
Comment:
    Emissions in 2022 are the "enterprise-wide emissions inventories by year"
Reply:
    Note the significant change in value reported: recalculation from 841104 mtco2e to 1016800 mtco2e. See p. 28, OnSemi Sustainability Report 2024.</t>
      </text>
    </comment>
    <comment ref="F69" authorId="38" shapeId="0" xr:uid="{5CAA6A06-FBAB-49BF-B55D-930996229047}">
      <text>
        <t>[Threaded comment]
Your version of Excel allows you to read this threaded comment; however, any edits to it will get removed if the file is opened in a newer version of Excel. Learn more: https://go.microsoft.com/fwlink/?linkid=870924
Comment:
    Emissions in 2022 are the "enterprise-wide emissions inventories by year"</t>
      </text>
    </comment>
    <comment ref="G69" authorId="39" shapeId="0" xr:uid="{6F28ABCC-69AB-4253-B885-E7E2EDB854B2}">
      <text>
        <t>[Threaded comment]
Your version of Excel allows you to read this threaded comment; however, any edits to it will get removed if the file is opened in a newer version of Excel. Learn more: https://go.microsoft.com/fwlink/?linkid=870924
Comment:
    "2022 baseline emissions have been recalculated from last year’s disclosure to include emissions from the acquisition of EFK and Scope 1 and 2 has been adjusted to only include manufacturing sites"
Reply:
    Value updated in June 2025</t>
      </text>
    </comment>
    <comment ref="D72" authorId="40" shapeId="0" xr:uid="{6B861E74-737E-4235-82DA-6F083E11606A}">
      <text>
        <t>[Threaded comment]
Your version of Excel allows you to read this threaded comment; however, any edits to it will get removed if the file is opened in a newer version of Excel. Learn more: https://go.microsoft.com/fwlink/?linkid=870924
Comment:
    Note this value is found in an infograph in the 2015 CSR report on page 10.</t>
      </text>
    </comment>
    <comment ref="C90" authorId="41" shapeId="0" xr:uid="{9B3365AF-B51E-4E28-846D-547906E46EA7}">
      <text>
        <t>[Threaded comment]
Your version of Excel allows you to read this threaded comment; however, any edits to it will get removed if the file is opened in a newer version of Excel. Learn more: https://go.microsoft.com/fwlink/?linkid=870924
Comment:
    2015-2024: Converted TJ to GWh</t>
      </text>
    </comment>
    <comment ref="C101" authorId="42" shapeId="0" xr:uid="{D723DB2A-6488-4DFF-B983-312926FA803E}">
      <text>
        <t>[Threaded comment]
Your version of Excel allows you to read this threaded comment; however, any edits to it will get removed if the file is opened in a newer version of Excel. Learn more: https://go.microsoft.com/fwlink/?linkid=870924
Comment:
    2020-2024: Converted GJ to GWh</t>
      </text>
    </comment>
    <comment ref="D101" authorId="43" shapeId="0" xr:uid="{D2901F45-EB56-4532-A9B2-3CB2B4F5EF97}">
      <text>
        <t>[Threaded comment]
Your version of Excel allows you to read this threaded comment; however, any edits to it will get removed if the file is opened in a newer version of Excel. Learn more: https://go.microsoft.com/fwlink/?linkid=870924
Comment:
    Values found in figure 11 on page 62 of GF-2025 report. Note that the value found in third party verification report and the gross value given on page 116 of GF-2025 is slightly different:
989127 MTCO2e</t>
      </text>
    </comment>
    <comment ref="F101" authorId="44" shapeId="0" xr:uid="{5DCD3367-D708-4117-93A0-94AA420A3B3C}">
      <text>
        <t>[Threaded comment]
Your version of Excel allows you to read this threaded comment; however, any edits to it will get removed if the file is opened in a newer version of Excel. Learn more: https://go.microsoft.com/fwlink/?linkid=870924
Comment:
    Found in 3rd party verification report on page 119 in GF-2025 report</t>
      </text>
    </comment>
    <comment ref="C121" authorId="45" shapeId="0" xr:uid="{1712A09C-3CD3-4A3F-B30A-9D29E722EF85}">
      <text>
        <t>[Threaded comment]
Your version of Excel allows you to read this threaded comment; however, any edits to it will get removed if the file is opened in a newer version of Excel. Learn more: https://go.microsoft.com/fwlink/?linkid=870924
Comment:
    Converted tonne of coal equivalent to GWh</t>
      </text>
    </comment>
    <comment ref="G123" authorId="46" shapeId="0" xr:uid="{57B6CA64-DF7F-45C0-B9DE-362CCBEFA4E9}">
      <text>
        <t>[Threaded comment]
Your version of Excel allows you to read this threaded comment; however, any edits to it will get removed if the file is opened in a newer version of Excel. Learn more: https://go.microsoft.com/fwlink/?linkid=870924
Comment:
    Drop in emissions is due to significant decrease in emissions in Overseas Business Trip category</t>
      </text>
    </comment>
    <comment ref="G126" authorId="47" shapeId="0" xr:uid="{FCF393E4-2E3D-44A2-B472-BEB33CD460AF}">
      <text>
        <t>[Threaded comment]
Your version of Excel allows you to read this threaded comment; however, any edits to it will get removed if the file is opened in a newer version of Excel. Learn more: https://go.microsoft.com/fwlink/?linkid=870924
Comment:
    Jump in emissions is due to the inclusion of the Purchased Raw Materials category</t>
      </text>
    </comment>
    <comment ref="E127" authorId="48" shapeId="0" xr:uid="{D83B3922-F920-4746-B31A-94C463AEDCFD}">
      <text>
        <t xml:space="preserve">[Threaded comment]
Your version of Excel allows you to read this threaded comment; however, any edits to it will get removed if the file is opened in a newer version of Excel. Learn more: https://go.microsoft.com/fwlink/?linkid=870924
Comment:
    Scope 1+Scope 2 aggregated market-based data given in the 2024 CSR report. Here we subtract the Scope 1 value from the total to find the Scope 2 market-based value. </t>
      </text>
    </comment>
    <comment ref="E128" authorId="49" shapeId="0" xr:uid="{14BA14FE-DFC5-423C-8F11-75BC417891CB}">
      <text>
        <t>[Threaded comment]
Your version of Excel allows you to read this threaded comment; however, any edits to it will get removed if the file is opened in a newer version of Excel. Learn more: https://go.microsoft.com/fwlink/?linkid=870924
Comment:
    Values for market-based data found on table in the 2023 CSR report for 2021-2022. Note that the other years are location-based</t>
      </text>
    </comment>
    <comment ref="C130" authorId="50" shapeId="0" xr:uid="{DA4EEA04-0AFA-43F4-8F7F-70FD6B9E5011}">
      <text>
        <t>[Threaded comment]
Your version of Excel allows you to read this threaded comment; however, any edits to it will get removed if the file is opened in a newer version of Excel. Learn more: https://go.microsoft.com/fwlink/?linkid=870924
Comment:
    For all years: Underestimate of energy consumed because we used the conversion factor from Korea alone (1GWh=9600GJ) rather than (1GWh=3600GJ) which is used in the rest of the world. Since we don't know the proportion of energy consumed in Korea vs energy consumed in China, we are unable to separate the energy values and calculate back to GWh accurately.</t>
      </text>
    </comment>
    <comment ref="E130" authorId="51" shapeId="0" xr:uid="{E45B9D35-EA87-45F8-A8CE-30370411E112}">
      <text>
        <t xml:space="preserve">[Threaded comment]
Your version of Excel allows you to read this threaded comment; however, any edits to it will get removed if the file is opened in a newer version of Excel. Learn more: https://go.microsoft.com/fwlink/?linkid=870924
Comment:
    Scope 1+Scope 2 aggregated market-based data given in the 2024 CSR report. Here we subtract the Scope 1 value from the total to find the Scope 2 market-based value. </t>
      </text>
    </comment>
    <comment ref="C134" authorId="52" shapeId="0" xr:uid="{946B3481-4FB6-46E2-B384-6E7B52EE8C67}">
      <text>
        <t>[Threaded comment]
Your version of Excel allows you to read this threaded comment; however, any edits to it will get removed if the file is opened in a newer version of Excel. Learn more: https://go.microsoft.com/fwlink/?linkid=870924
Comment:
    Converted MJ to GWh</t>
      </text>
    </comment>
    <comment ref="E136" authorId="53" shapeId="0" xr:uid="{C6B57048-F41E-4A1A-84B2-16BA02F848C0}">
      <text>
        <t>[Threaded comment]
Your version of Excel allows you to read this threaded comment; however, any edits to it will get removed if the file is opened in a newer version of Excel. Learn more: https://go.microsoft.com/fwlink/?linkid=870924
Comment:
    Note that 2015-2019 market based values are assumed to be identical to location-based values which are explicitly given. This is due to the fact that there was no renewable energy consumption, and we know explicitly that the values are identical for 2020-2022</t>
      </text>
    </comment>
    <comment ref="G140" authorId="54" shapeId="0" xr:uid="{786DF877-3FC9-468D-88B1-F29BA2A2691C}">
      <text>
        <t xml:space="preserve">[Threaded comment]
Your version of Excel allows you to read this threaded comment; however, any edits to it will get removed if the file is opened in a newer version of Excel. Learn more: https://go.microsoft.com/fwlink/?linkid=870924
Comment:
    Year-by-year evolution of Scope 3 emissions not featured in the 2024 report - impossible to assess the accuracy of numbers reported in the previous years. </t>
      </text>
    </comment>
    <comment ref="D157" authorId="55" shapeId="0" xr:uid="{85120FAF-9A70-4711-8753-2A38FEBDDCBA}">
      <text>
        <t>[Threaded comment]
Your version of Excel allows you to read this threaded comment; however, any edits to it will get removed if the file is opened in a newer version of Excel. Learn more: https://go.microsoft.com/fwlink/?linkid=870924
Comment:
    This value may be available but could not be found during data collection</t>
      </text>
    </comment>
    <comment ref="E157" authorId="56" shapeId="0" xr:uid="{4DAF8665-BC49-4C33-8EB9-0B62122817ED}">
      <text>
        <t>[Threaded comment]
Your version of Excel allows you to read this threaded comment; however, any edits to it will get removed if the file is opened in a newer version of Excel. Learn more: https://go.microsoft.com/fwlink/?linkid=870924
Comment:
    This value may be available but could not be found during data collection</t>
      </text>
    </comment>
    <comment ref="G157" authorId="57" shapeId="0" xr:uid="{56FEB8C1-807C-4E70-B5B7-27CF8820A1B6}">
      <text>
        <t>[Threaded comment]
Your version of Excel allows you to read this threaded comment; however, any edits to it will get removed if the file is opened in a newer version of Excel. Learn more: https://go.microsoft.com/fwlink/?linkid=870924
Comment:
    This value may be available but could not be found during data collection</t>
      </text>
    </comment>
    <comment ref="F161" authorId="58" shapeId="0" xr:uid="{474EFFD7-B13D-C442-96B7-6C349E25CB3A}">
      <text>
        <t>[Threaded comment]
Your version of Excel allows you to read this threaded comment; however, any edits to it will get removed if the file is opened in a newer version of Excel. Learn more: https://go.microsoft.com/fwlink/?linkid=870924
Comment:
    first reporting of location-based S2</t>
      </text>
    </comment>
    <comment ref="E181" authorId="59" shapeId="0" xr:uid="{598330B6-D53E-4FEB-BDD7-7B1C0A05A1B5}">
      <text>
        <t>[Threaded comment]
Your version of Excel allows you to read this threaded comment; however, any edits to it will get removed if the file is opened in a newer version of Excel. Learn more: https://go.microsoft.com/fwlink/?linkid=870924
Comment:
    Found in third-party verification statement, p. 60, 2025 Report.</t>
      </text>
    </comment>
    <comment ref="G181" authorId="60" shapeId="0" xr:uid="{201D5A76-71C8-4B4D-BD34-871FB36558A8}">
      <text>
        <t xml:space="preserve">[Threaded comment]
Your version of Excel allows you to read this threaded comment; however, any edits to it will get removed if the file is opened in a newer version of Excel. Learn more: https://go.microsoft.com/fwlink/?linkid=870924
Comment:
    This calculation does not include Category 1 (purchased goods and services) emissions which will be disclosed separately via CDP reporting. </t>
      </text>
    </comment>
    <comment ref="C190" authorId="61" shapeId="0" xr:uid="{A24773EC-CFEF-4156-9A5F-F925B1ACC78B}">
      <text>
        <t>[Threaded comment]
Your version of Excel allows you to read this threaded comment; however, any edits to it will get removed if the file is opened in a newer version of Excel. Learn more: https://go.microsoft.com/fwlink/?linkid=870924
Comment:
    Could potentially calculate total energy consumed using values given for natural gas in m^3 and gas/diesel/petroleum in liters.</t>
      </text>
    </comment>
    <comment ref="G191" authorId="62" shapeId="0" xr:uid="{DA8EB1C5-7650-8546-BEA3-5078762ED690}">
      <text>
        <t>[Threaded comment]
Your version of Excel allows you to read this threaded comment; however, any edits to it will get removed if the file is opened in a newer version of Excel. Learn more: https://go.microsoft.com/fwlink/?linkid=870924
Comment:
    announced to start calculation in 2025</t>
      </text>
    </comment>
    <comment ref="C200" authorId="63" shapeId="0" xr:uid="{8801ADEF-8D81-4C07-B685-F9BCA67D86DE}">
      <text>
        <t>[Threaded comment]
Your version of Excel allows you to read this threaded comment; however, any edits to it will get removed if the file is opened in a newer version of Excel. Learn more: https://go.microsoft.com/fwlink/?linkid=870924
Comment:
    For all years: Converted GJ to GWh</t>
      </text>
    </comment>
    <comment ref="A202" authorId="64" shapeId="0" xr:uid="{1B8927BA-6096-44D6-9816-2EF06641779B}">
      <text>
        <t>[Threaded comment]
Your version of Excel allows you to read this threaded comment; however, any edits to it will get removed if the file is opened in a newer version of Excel. Learn more: https://go.microsoft.com/fwlink/?linkid=870924
Comment:
    Was SMEC, SMIC Shaoxing before</t>
      </text>
    </comment>
    <comment ref="C209" authorId="65" shapeId="0" xr:uid="{B25E8702-9B21-474A-BA26-E8C486234BC4}">
      <text>
        <t>[Threaded comment]
Your version of Excel allows you to read this threaded comment; however, any edits to it will get removed if the file is opened in a newer version of Excel. Learn more: https://go.microsoft.com/fwlink/?linkid=870924
Comment:
    For years 2015-2021: Converted TCE to GWh</t>
      </text>
    </comment>
    <comment ref="E209" authorId="66" shapeId="0" xr:uid="{D382506C-5B5D-4027-B308-6943AEBBF960}">
      <text>
        <t>[Threaded comment]
Your version of Excel allows you to read this threaded comment; however, any edits to it will get removed if the file is opened in a newer version of Excel. Learn more: https://go.microsoft.com/fwlink/?linkid=870924
Comment:
    Emission factors recalculated in the 2024 report using electricity consumption - average carbon dioxide emission factor for electricity (excluding market-traded non-fossil energy electricity), see p. 27</t>
      </text>
    </comment>
    <comment ref="D210" authorId="67" shapeId="0" xr:uid="{3CDACC77-91C4-423D-88FF-5BA0062F20BD}">
      <text>
        <t>[Threaded comment]
Your version of Excel allows you to read this threaded comment; however, any edits to it will get removed if the file is opened in a newer version of Excel. Learn more: https://go.microsoft.com/fwlink/?linkid=870924
Comment:
    2022-2023 Calculated: 
"CO2 emissions from different types of fossil fuel combustion" + "Emissions generated by gas leakage-emissions 1 generated by leakage of raw gas"</t>
      </text>
    </comment>
    <comment ref="E210" authorId="68" shapeId="0" xr:uid="{39A7F24B-71F0-40E8-8290-9D82B677A562}">
      <text>
        <t>[Threaded comment]
Your version of Excel allows you to read this threaded comment; however, any edits to it will get removed if the file is opened in a newer version of Excel. Learn more: https://go.microsoft.com/fwlink/?linkid=870924
Comment:
    Emission factors recalculated in the 2024 report using electricity consumption - average carbon dioxide emission factor for electricity (excluding market-traded non-fossil energy electricity)</t>
      </text>
    </comment>
    <comment ref="C216" authorId="69" shapeId="0" xr:uid="{3605BD07-5882-458C-96E0-4D72D543FAC1}">
      <text>
        <t>[Threaded comment]
Your version of Excel allows you to read this threaded comment; however, any edits to it will get removed if the file is opened in a newer version of Excel. Learn more: https://go.microsoft.com/fwlink/?linkid=870924
Comment:
    2015-2019: "Total energy purchased from sources external to the organization or self-generated"</t>
      </text>
    </comment>
    <comment ref="G218" authorId="70" shapeId="0" xr:uid="{2F963ADA-25F1-430F-8514-DD9C414D5C4E}">
      <text>
        <t>[Threaded comment]
Your version of Excel allows you to read this threaded comment; however, any edits to it will get removed if the file is opened in a newer version of Excel. Learn more: https://go.microsoft.com/fwlink/?linkid=870924
Comment:
    2015-2021: only Product Transport and Business Travel</t>
      </text>
    </comment>
    <comment ref="C220" authorId="71" shapeId="0" xr:uid="{F1BBC9A0-DB90-4124-9F21-A532C99F1E9A}">
      <text>
        <t>[Threaded comment]
Your version of Excel allows you to read this threaded comment; however, any edits to it will get removed if the file is opened in a newer version of Excel. Learn more: https://go.microsoft.com/fwlink/?linkid=870924
Comment:
    2020-2023: "This data includes manufacturing sites only"</t>
      </text>
    </comment>
    <comment ref="C221" authorId="72" shapeId="0" xr:uid="{C057D7D8-7746-4B1E-A3EE-0A0F7AB837CD}">
      <text>
        <t xml:space="preserve">[Threaded comment]
Your version of Excel allows you to read this threaded comment; however, any edits to it will get removed if the file is opened in a newer version of Excel. Learn more: https://go.microsoft.com/fwlink/?linkid=870924
Comment:
    2015-2024: Converted GJ to GWh </t>
      </text>
    </comment>
    <comment ref="F230" authorId="73" shapeId="0" xr:uid="{F2FF2381-6400-457F-B2E1-6555790BC568}">
      <text>
        <t>[Threaded comment]
Your version of Excel allows you to read this threaded comment; however, any edits to it will get removed if the file is opened in a newer version of Excel. Learn more: https://go.microsoft.com/fwlink/?linkid=870924
Comment:
    Previously not featured in the 2023 report</t>
      </text>
    </comment>
    <comment ref="G231" authorId="74" shapeId="0" xr:uid="{237C1DED-C418-4702-A31E-F9129AA32624}">
      <text>
        <t>[Threaded comment]
Your version of Excel allows you to read this threaded comment; however, any edits to it will get removed if the file is opened in a newer version of Excel. Learn more: https://go.microsoft.com/fwlink/?linkid=870924
Comment:
    2025 report uses a new calculation method for Scope 3 emissions and revises the 2023 and 2022 numbers (see footnote 2, p.68, 2025 CSR Report)</t>
      </text>
    </comment>
    <comment ref="D242" authorId="75" shapeId="0" xr:uid="{6C2BD967-1A6E-41EA-9FCD-2CB8B74A65C1}">
      <text>
        <t>[Threaded comment]
Your version of Excel allows you to read this threaded comment; however, any edits to it will get removed if the file is opened in a newer version of Excel. Learn more: https://go.microsoft.com/fwlink/?linkid=870924
Comment:
    Aggregate Scope 1+Scope 2: 219057</t>
      </text>
    </comment>
    <comment ref="E242" authorId="76" shapeId="0" xr:uid="{6CB5AA04-D8E8-4810-B4AA-B83571C5FEDB}">
      <text>
        <t>[Threaded comment]
Your version of Excel allows you to read this threaded comment; however, any edits to it will get removed if the file is opened in a newer version of Excel. Learn more: https://go.microsoft.com/fwlink/?linkid=870924
Comment:
    Aggregate Scope 1+Scope 2: 219057</t>
      </text>
    </comment>
    <comment ref="D243" authorId="77" shapeId="0" xr:uid="{1E672629-29B0-4532-96C4-706FD6D26F36}">
      <text>
        <t>[Threaded comment]
Your version of Excel allows you to read this threaded comment; however, any edits to it will get removed if the file is opened in a newer version of Excel. Learn more: https://go.microsoft.com/fwlink/?linkid=870924
Comment:
    Aggregate Scope 1+Scope 2: 217769</t>
      </text>
    </comment>
    <comment ref="E243" authorId="78" shapeId="0" xr:uid="{84920A94-E590-4518-A7DF-539AD0184EC3}">
      <text>
        <t>[Threaded comment]
Your version of Excel allows you to read this threaded comment; however, any edits to it will get removed if the file is opened in a newer version of Excel. Learn more: https://go.microsoft.com/fwlink/?linkid=870924
Comment:
    Aggregate Scope 1+Scope 2: 217769</t>
      </text>
    </comment>
    <comment ref="D244" authorId="79" shapeId="0" xr:uid="{9BD22134-AAE3-4193-8592-33ADF47F0827}">
      <text>
        <t>[Threaded comment]
Your version of Excel allows you to read this threaded comment; however, any edits to it will get removed if the file is opened in a newer version of Excel. Learn more: https://go.microsoft.com/fwlink/?linkid=870924
Comment:
    Aggregate Scope 1+Scope 2: 146567</t>
      </text>
    </comment>
    <comment ref="E244" authorId="80" shapeId="0" xr:uid="{B89BBE51-922D-4940-AB38-F52689B53B16}">
      <text>
        <t>[Threaded comment]
Your version of Excel allows you to read this threaded comment; however, any edits to it will get removed if the file is opened in a newer version of Excel. Learn more: https://go.microsoft.com/fwlink/?linkid=870924
Comment:
    Aggregate Scope 1+Scope 2: 146567</t>
      </text>
    </comment>
    <comment ref="D245" authorId="81" shapeId="0" xr:uid="{4F6A78F7-3705-4778-8E53-298867F7FFA6}">
      <text>
        <t>[Threaded comment]
Your version of Excel allows you to read this threaded comment; however, any edits to it will get removed if the file is opened in a newer version of Excel. Learn more: https://go.microsoft.com/fwlink/?linkid=870924
Comment:
    Aggregate Scope 1+Scope 2: 145036</t>
      </text>
    </comment>
    <comment ref="E245" authorId="82" shapeId="0" xr:uid="{539F7BA0-57C4-4DB5-8A9F-EF71246F4729}">
      <text>
        <t>[Threaded comment]
Your version of Excel allows you to read this threaded comment; however, any edits to it will get removed if the file is opened in a newer version of Excel. Learn more: https://go.microsoft.com/fwlink/?linkid=870924
Comment:
    Aggregate Scope 1+Scope 2: 145036</t>
      </text>
    </comment>
    <comment ref="G247" authorId="83" shapeId="0" xr:uid="{21BC1F30-9327-4ED4-A49C-EAC9FAFF0FBF}">
      <text>
        <t>[Threaded comment]
Your version of Excel allows you to read this threaded comment; however, any edits to it will get removed if the file is opened in a newer version of Excel. Learn more: https://go.microsoft.com/fwlink/?linkid=870924
Comment:
    2015-2020: only Business Travel</t>
      </text>
    </comment>
    <comment ref="C250" authorId="84" shapeId="0" xr:uid="{07A157E0-F238-4F86-8B35-ED3C74589349}">
      <text>
        <t>[Threaded comment]
Your version of Excel allows you to read this threaded comment; however, any edits to it will get removed if the file is opened in a newer version of Excel. Learn more: https://go.microsoft.com/fwlink/?linkid=870924
Comment:
    2023: Converted GJ to GWh</t>
      </text>
    </comment>
    <comment ref="B251" authorId="85" shapeId="0" xr:uid="{3E0A2C88-F4C6-6343-A23F-FEE54B9B760A}">
      <text>
        <t>[Threaded comment]
Your version of Excel allows you to read this threaded comment; however, any edits to it will get removed if the file is opened in a newer version of Excel. Learn more: https://go.microsoft.com/fwlink/?linkid=870924
Comment:
    Reporting period until November 2024</t>
      </text>
    </comment>
    <comment ref="C256" authorId="86" shapeId="0" xr:uid="{64572811-4E22-4072-8CB6-DD517B12DC06}">
      <text>
        <t>[Threaded comment]
Your version of Excel allows you to read this threaded comment; however, any edits to it will get removed if the file is opened in a newer version of Excel. Learn more: https://go.microsoft.com/fwlink/?linkid=870924
Comment:
    Potential typo in the 2023 CRS report. Every other report gives 695,844, but the 2023 CSR report has 691,844.</t>
      </text>
    </comment>
    <comment ref="G256" authorId="87" shapeId="0" xr:uid="{2B3AB28D-56D9-471E-9C92-0108BB71EA6D}">
      <text>
        <t>[Threaded comment]
Your version of Excel allows you to read this threaded comment; however, any edits to it will get removed if the file is opened in a newer version of Excel. Learn more: https://go.microsoft.com/fwlink/?linkid=870924
Comment:
    This value may be available but could not be found during data collection</t>
      </text>
    </comment>
    <comment ref="D270" authorId="88" shapeId="0" xr:uid="{087E8C01-A9E1-4D17-A582-56583EA9AAAA}">
      <text>
        <t>[Threaded comment]
Your version of Excel allows you to read this threaded comment; however, any edits to it will get removed if the file is opened in a newer version of Excel. Learn more: https://go.microsoft.com/fwlink/?linkid=870924
Comment:
    Note that on the Scope emissions chart 18749 is given as the contribution outside of Taiwan, but in a table below 18835 is given.</t>
      </text>
    </comment>
    <comment ref="C274" authorId="89" shapeId="0" xr:uid="{79E5FA86-80F0-4D8B-8FA5-115EF35E439D}">
      <text>
        <t>[Threaded comment]
Your version of Excel allows you to read this threaded comment; however, any edits to it will get removed if the file is opened in a newer version of Excel. Learn more: https://go.microsoft.com/fwlink/?linkid=870924
Comment:
    2015-2017: Converted MJ to GWh.
2015-2017: Summed electricity consumption, natural gas consumption and diesel consumption.</t>
      </text>
    </comment>
    <comment ref="G278" authorId="90" shapeId="0" xr:uid="{677682BE-00CC-B547-AF56-8F95302A4D5E}">
      <text>
        <t>[Threaded comment]
Your version of Excel allows you to read this threaded comment; however, any edits to it will get removed if the file is opened in a newer version of Excel. Learn more: https://go.microsoft.com/fwlink/?linkid=870924
Comment:
    value changed based on 2024 report</t>
      </text>
    </comment>
    <comment ref="C290" authorId="91" shapeId="0" xr:uid="{F34BA0FA-F759-4930-9A6C-21BEF12DAF1C}">
      <text>
        <t>[Threaded comment]
Your version of Excel allows you to read this threaded comment; however, any edits to it will get removed if the file is opened in a newer version of Excel. Learn more: https://go.microsoft.com/fwlink/?linkid=870924
Comment:
    2020-2023: Converted tonnes of oil equivalent TOE to GWh</t>
      </text>
    </comment>
  </commentList>
</comments>
</file>

<file path=xl/sharedStrings.xml><?xml version="1.0" encoding="utf-8"?>
<sst xmlns="http://schemas.openxmlformats.org/spreadsheetml/2006/main" count="927" uniqueCount="163">
  <si>
    <t>source</t>
  </si>
  <si>
    <t>year</t>
  </si>
  <si>
    <t>energy consumption
gwh</t>
  </si>
  <si>
    <t>scope 1 emissions
mtco2e</t>
  </si>
  <si>
    <t>scope 2 emissions
market-based
mtco2e</t>
  </si>
  <si>
    <t>scope 2 emissions
location-based
mtco2e</t>
  </si>
  <si>
    <t>scope 3 emissions
mtco2e</t>
  </si>
  <si>
    <t>Comments</t>
  </si>
  <si>
    <t>TSMC</t>
  </si>
  <si>
    <t>N/A</t>
  </si>
  <si>
    <t>Note that there are values for 2016 and 2017 Scope 2 Location-based emissions, but we assume they are typos since they are identical to the values for Scope 2 Market-based emissions for subsidiaries alone for the same years.</t>
  </si>
  <si>
    <t>UMC</t>
  </si>
  <si>
    <t>Note that there are no subsidiaries included in the values for energy consumption or Scope 3 emissions.</t>
  </si>
  <si>
    <t>Intel</t>
  </si>
  <si>
    <t>Note that the Scope 2 Market-based values have been updated, but the Scope 2 Location-based values have not been. Thus, comparison between the Market-based values and Location-based values leads to inaccuracies as the Location-based values would most likely change significantly if they were updated.</t>
  </si>
  <si>
    <t>Texas Instruments</t>
  </si>
  <si>
    <t xml:space="preserve">Note that Scope 3 emissions for Business Travel are provided in the CDP responses.  </t>
  </si>
  <si>
    <t>Micron</t>
  </si>
  <si>
    <t xml:space="preserve">Note that Scope 2 Location-based emissions and Scope 3 emissions can only be found in CDP responses.
For Micron, we noticed that they switched between different versions of the GHG Protocol and IPCC Guidelines, namely between the 2006 and the 2019 versions. This is a common practice, and it is likely that other companies may follow a similar approach as well.
</t>
  </si>
  <si>
    <t>4002529 _x000D_</t>
  </si>
  <si>
    <t>Kioxia</t>
  </si>
  <si>
    <t>Note that the 2018-2019 Energy Consumption values are approximated from a chart using an online data extraction tool. 
Note that Scope 1 + Scope 2 aggregated emissions data is provided for 2015-2016.</t>
  </si>
  <si>
    <t>Onsemi</t>
  </si>
  <si>
    <t xml:space="preserve">Note that up until 2021, it is unclear if the Scope 2 emissions reported are Market- or Location-based. After 2021, it is explicitly stated that the values are Location-based. </t>
  </si>
  <si>
    <t>Infineon</t>
  </si>
  <si>
    <t xml:space="preserve">Note that the data for Scope emissions is found within the text rather than in a chart or table. </t>
  </si>
  <si>
    <t>STMicro</t>
  </si>
  <si>
    <t>STMicro 2024 CSR Report is found in their Annual Report and is made in compliance with the latest CSRD principles, based on the European Sustainability Reporting Standards (ESRS)</t>
  </si>
  <si>
    <t>GF</t>
  </si>
  <si>
    <t>Energy consumption for 2024 updated in October 2025 - changed to fix a reporting error.</t>
  </si>
  <si>
    <t>Wolfspeed</t>
  </si>
  <si>
    <t>SMIC</t>
  </si>
  <si>
    <t>Note that it is not explicily stated if the Scope 2 emissions are Market- or Location-based.</t>
  </si>
  <si>
    <t>SK Hynix</t>
  </si>
  <si>
    <t xml:space="preserve">Note that the energy consumption values are underestimates of the true values. To convert between GJ to GWh, we used the conversion factor for Korea alone (1GWh=9600GJ) even though energy was also consumed in other parts of the world with a different conversion factor (1GWh=3600GJ). We are unable to calculate more accurately since we do not know the proportion of the energy consumed in Korea vs. other parts of the world. </t>
  </si>
  <si>
    <t>Powerchip (PSMC)</t>
  </si>
  <si>
    <t>Note that the Scope 2 Market-based values from 2015-2019 are assumed to be identical to the Location-based values for these same years, which are explicitly given. We make this assumption based on the fact that there was no renewable energy consumption during these years, and, moreover, we know explicitly that the Market- and Location-based values are identical from 2020-2022.</t>
  </si>
  <si>
    <t>Hua Hong</t>
  </si>
  <si>
    <t>Renesas</t>
  </si>
  <si>
    <t>Fuji Electric</t>
  </si>
  <si>
    <t>Microchip</t>
  </si>
  <si>
    <t xml:space="preserve">Note that it may be possible to find Scope 3 values in CDP responses. Scope 1 and 2 are reported it mtce </t>
  </si>
  <si>
    <t>Wingtech Technology</t>
  </si>
  <si>
    <t>Tower(Jazz) Semiconductors</t>
  </si>
  <si>
    <t xml:space="preserve">Note that it is not explicily stated if the Scope 2 emissions are Market- or Location-based. First values for S3 published in 2024.Couldn't find energy consumption. </t>
  </si>
  <si>
    <t xml:space="preserve"> </t>
  </si>
  <si>
    <t>Samsung Calculation</t>
  </si>
  <si>
    <t>electricity</t>
  </si>
  <si>
    <t>energy</t>
  </si>
  <si>
    <t>scope 1</t>
  </si>
  <si>
    <t>scope 2</t>
  </si>
  <si>
    <t>scope 3</t>
  </si>
  <si>
    <t>United Nova Technologies</t>
  </si>
  <si>
    <t>NXP</t>
  </si>
  <si>
    <t xml:space="preserve">Note that the following values were approximated from charts using an online data extraction tool: 2015-2017 Scope 2 Market-based emissions and 2015-2017 Scope 3 emissions. 
Note that energy values from 2015-2019 are energy purchased rather than energy consumed. </t>
  </si>
  <si>
    <t xml:space="preserve">average </t>
  </si>
  <si>
    <t>Values found in reports</t>
  </si>
  <si>
    <t>Calculated average percent</t>
  </si>
  <si>
    <t>Value calculated using average percent</t>
  </si>
  <si>
    <t>Samsung</t>
  </si>
  <si>
    <t>Note that NF3 was not included in the Scope emissions reported before 2025.</t>
  </si>
  <si>
    <t>ams-OSRAM</t>
  </si>
  <si>
    <t>Analog Devices</t>
  </si>
  <si>
    <t>Note that from 2015-2018 there is Scope 1 and Scope 2 aggregated data provided in the CSR reports.</t>
  </si>
  <si>
    <t>Vanguard</t>
  </si>
  <si>
    <t>started reporting S2 (market- and location-based) for 2021-2024 in 2025, difference only for 2023 and 2024</t>
  </si>
  <si>
    <t>Winbond</t>
  </si>
  <si>
    <t>Note that it is not explicily stated if the Scope 2 emissions are Market- or Location-based. 
Update 2025: Previously, subsidiaries were sometimes included, sometimes not. I updated it the data including subsidiaries for 2021-2024.</t>
  </si>
  <si>
    <t>Nanya</t>
  </si>
  <si>
    <t xml:space="preserve">DB HiTek </t>
  </si>
  <si>
    <t>§</t>
  </si>
  <si>
    <t>ds  </t>
  </si>
  <si>
    <t>total </t>
  </si>
  <si>
    <t>% </t>
  </si>
  <si>
    <t>ds </t>
  </si>
  <si>
    <t>%  </t>
  </si>
  <si>
    <t>15368 </t>
  </si>
  <si>
    <t>19478 </t>
  </si>
  <si>
    <t>2445000 </t>
  </si>
  <si>
    <t>7747000 </t>
  </si>
  <si>
    <t>18528000 </t>
  </si>
  <si>
    <t>16587 </t>
  </si>
  <si>
    <t>21073 </t>
  </si>
  <si>
    <t>2554000 </t>
  </si>
  <si>
    <t>9046000 </t>
  </si>
  <si>
    <t>7649000 </t>
  </si>
  <si>
    <t>18450 </t>
  </si>
  <si>
    <t>23419 </t>
  </si>
  <si>
    <t>3668000 </t>
  </si>
  <si>
    <t>9907000 </t>
  </si>
  <si>
    <t>14782000 </t>
  </si>
  <si>
    <t>20558 </t>
  </si>
  <si>
    <t>26028 </t>
  </si>
  <si>
    <t>4855000 </t>
  </si>
  <si>
    <t>10296000 </t>
  </si>
  <si>
    <t>15908000 </t>
  </si>
  <si>
    <t>21160 </t>
  </si>
  <si>
    <t>26899 </t>
  </si>
  <si>
    <t>5067000 </t>
  </si>
  <si>
    <t>8733000 </t>
  </si>
  <si>
    <t>16607000 </t>
  </si>
  <si>
    <t>19654 </t>
  </si>
  <si>
    <t>22916 </t>
  </si>
  <si>
    <t>24556 </t>
  </si>
  <si>
    <t>29024 </t>
  </si>
  <si>
    <t>5448000 </t>
  </si>
  <si>
    <t>5726000 </t>
  </si>
  <si>
    <t>7546000 </t>
  </si>
  <si>
    <t>9079000 </t>
  </si>
  <si>
    <t>14726000 </t>
  </si>
  <si>
    <t>22624 </t>
  </si>
  <si>
    <t>25767 </t>
  </si>
  <si>
    <t>27926 </t>
  </si>
  <si>
    <t>32322 </t>
  </si>
  <si>
    <t>7341000 </t>
  </si>
  <si>
    <t>7604000 </t>
  </si>
  <si>
    <t>8269000 </t>
  </si>
  <si>
    <t>9796000 </t>
  </si>
  <si>
    <t>123235000 </t>
  </si>
  <si>
    <t>25249 </t>
  </si>
  <si>
    <t>28316 </t>
  </si>
  <si>
    <t>30850 </t>
  </si>
  <si>
    <t>35177 </t>
  </si>
  <si>
    <t>5718000 </t>
  </si>
  <si>
    <t>5972000 </t>
  </si>
  <si>
    <t>8969000 </t>
  </si>
  <si>
    <t>9081000 </t>
  </si>
  <si>
    <t>14764000 </t>
  </si>
  <si>
    <t>124715000 </t>
  </si>
  <si>
    <t>27042 </t>
  </si>
  <si>
    <t>29956 </t>
  </si>
  <si>
    <t>32384 </t>
  </si>
  <si>
    <t>36399 </t>
  </si>
  <si>
    <t>3522000 </t>
  </si>
  <si>
    <t>3733000 </t>
  </si>
  <si>
    <t>9456000 </t>
  </si>
  <si>
    <t>9558000 </t>
  </si>
  <si>
    <t>18091000 </t>
  </si>
  <si>
    <t>119730000 </t>
  </si>
  <si>
    <t>88.68% </t>
  </si>
  <si>
    <t>87.38% </t>
  </si>
  <si>
    <t>95.36% </t>
  </si>
  <si>
    <t>92.84% </t>
  </si>
  <si>
    <t>16.21% </t>
  </si>
  <si>
    <t>85.77% </t>
  </si>
  <si>
    <t>87.80% </t>
  </si>
  <si>
    <t>89.17% </t>
  </si>
  <si>
    <t>90.27% </t>
  </si>
  <si>
    <t>84.61% </t>
  </si>
  <si>
    <t>86.40% </t>
  </si>
  <si>
    <t>87.70% </t>
  </si>
  <si>
    <t>88.97% </t>
  </si>
  <si>
    <t>95.14% </t>
  </si>
  <si>
    <t>96.54% </t>
  </si>
  <si>
    <t>95.75% </t>
  </si>
  <si>
    <t>94.35% </t>
  </si>
  <si>
    <t>83.11% </t>
  </si>
  <si>
    <t>84.41% </t>
  </si>
  <si>
    <t>98.77% </t>
  </si>
  <si>
    <t>98.93% </t>
  </si>
  <si>
    <t>11.84% </t>
  </si>
  <si>
    <t>15.11% </t>
  </si>
  <si>
    <t>Note that the chart allows for switch between a S3 overview including and excluding Wolfspeed, so that it can convey a reliable picture of the whole industry.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</si>
</sst>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1"/>
      <color rgb="FF000000"/>
      <name val="Calibri"/>
      <family val="2"/>
      <charset val="1"/>
    </font>
    <font>
      <b/>
      <sz val="11"/>
      <color rgb="FF4472C4"/>
      <name val="Calibri"/>
      <family val="2"/>
      <charset val="1"/>
    </font>
    <font>
      <b/>
      <sz val="14"/>
      <color rgb="FFFFFFFF"/>
      <name val="Calibri"/>
      <family val="2"/>
      <charset val="1"/>
    </font>
    <font>
      <sz val="11"/>
      <name val="Calibri"/>
      <family val="2"/>
      <charset val="1"/>
    </font>
    <font>
      <sz val="11"/>
      <color theme="1"/>
      <name val="Calibri"/>
      <family val="2"/>
      <charset val="1"/>
    </font>
  </fonts>
  <fills count="14">
    <fill>
      <patternFill patternType="none"/>
    </fill>
    <fill>
      <patternFill patternType="gray125"/>
    </fill>
    <fill>
      <patternFill patternType="solid">
        <fgColor rgb="FFFFFFFF"/>
        <bgColor rgb="FFF2F2F2"/>
      </patternFill>
    </fill>
    <fill>
      <patternFill patternType="solid">
        <fgColor rgb="FF262626"/>
        <bgColor rgb="FF404040"/>
      </patternFill>
    </fill>
    <fill>
      <patternFill patternType="solid">
        <fgColor rgb="FFFFF5CE"/>
        <bgColor rgb="FFFFFFD7"/>
      </patternFill>
    </fill>
    <fill>
      <patternFill patternType="solid">
        <fgColor rgb="FFFFF5CE"/>
        <bgColor rgb="FFF2F2F2"/>
      </patternFill>
    </fill>
    <fill>
      <patternFill patternType="solid">
        <fgColor rgb="FFFFF5CE"/>
        <bgColor indexed="64"/>
      </patternFill>
    </fill>
    <fill>
      <patternFill patternType="solid">
        <fgColor rgb="FF94DCF9"/>
        <bgColor indexed="64"/>
      </patternFill>
    </fill>
    <fill>
      <patternFill patternType="solid">
        <fgColor rgb="FFFFF5CE"/>
        <bgColor rgb="FFFFF5CE"/>
      </patternFill>
    </fill>
    <fill>
      <patternFill patternType="solid">
        <fgColor rgb="FFDBF2D1"/>
        <bgColor indexed="64"/>
      </patternFill>
    </fill>
    <fill>
      <patternFill patternType="solid">
        <fgColor theme="6" tint="0.79998168889431442"/>
        <bgColor indexed="64"/>
      </patternFill>
    </fill>
    <fill>
      <patternFill patternType="solid">
        <fgColor theme="1"/>
        <bgColor indexed="64"/>
      </patternFill>
    </fill>
    <fill>
      <patternFill patternType="solid">
        <fgColor theme="0"/>
        <bgColor indexed="64"/>
      </patternFill>
    </fill>
    <fill>
      <patternFill patternType="solid">
        <fgColor theme="1" tint="0.14999847407452621"/>
        <bgColor indexed="64"/>
      </patternFill>
    </fill>
  </fills>
  <borders count="2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style="thin">
        <color rgb="FF000000"/>
      </right>
      <top/>
      <bottom/>
      <diagonal/>
    </border>
  </borders>
  <cellStyleXfs count="1">
    <xf numFmtId="0" fontId="0" fillId="0" borderId="0"/>
  </cellStyleXfs>
  <cellXfs count="73">
    <xf numFmtId="0" fontId="0" fillId="0" borderId="0" xfId="0"/>
    <xf numFmtId="0" fontId="1" fillId="2" borderId="0" xfId="0" applyFont="1" applyFill="1" applyAlignment="1">
      <alignment horizontal="right"/>
    </xf>
    <xf numFmtId="0" fontId="0" fillId="2" borderId="0" xfId="0" applyFill="1" applyAlignment="1">
      <alignment horizontal="center"/>
    </xf>
    <xf numFmtId="0" fontId="0" fillId="2" borderId="0" xfId="0" applyFill="1"/>
    <xf numFmtId="0" fontId="2" fillId="3" borderId="0" xfId="0" applyFont="1" applyFill="1" applyAlignment="1">
      <alignment horizontal="center" vertical="center" wrapText="1"/>
    </xf>
    <xf numFmtId="0" fontId="3" fillId="4" borderId="6" xfId="0" applyFont="1" applyFill="1" applyBorder="1" applyAlignment="1">
      <alignment horizontal="center"/>
    </xf>
    <xf numFmtId="0" fontId="3" fillId="4" borderId="7" xfId="0" applyFont="1" applyFill="1" applyBorder="1" applyAlignment="1">
      <alignment horizontal="center"/>
    </xf>
    <xf numFmtId="0" fontId="3" fillId="4" borderId="4" xfId="0" applyFont="1" applyFill="1" applyBorder="1" applyAlignment="1">
      <alignment horizontal="center"/>
    </xf>
    <xf numFmtId="0" fontId="0" fillId="2" borderId="1" xfId="0" applyFill="1" applyBorder="1" applyAlignment="1">
      <alignment horizontal="center"/>
    </xf>
    <xf numFmtId="0" fontId="0" fillId="2" borderId="1" xfId="0" applyFill="1" applyBorder="1"/>
    <xf numFmtId="0" fontId="0" fillId="7" borderId="1" xfId="0" applyFill="1" applyBorder="1"/>
    <xf numFmtId="10" fontId="0" fillId="7" borderId="1" xfId="0" applyNumberFormat="1" applyFill="1" applyBorder="1"/>
    <xf numFmtId="1" fontId="0" fillId="2" borderId="1" xfId="0" applyNumberFormat="1" applyFill="1" applyBorder="1"/>
    <xf numFmtId="0" fontId="0" fillId="2" borderId="3" xfId="0" applyFill="1" applyBorder="1"/>
    <xf numFmtId="10" fontId="0" fillId="7" borderId="12" xfId="0" applyNumberFormat="1" applyFill="1" applyBorder="1"/>
    <xf numFmtId="0" fontId="0" fillId="12" borderId="0" xfId="0" applyFill="1"/>
    <xf numFmtId="0" fontId="0" fillId="2" borderId="0" xfId="0" applyFill="1" applyAlignment="1">
      <alignment horizontal="left" vertical="top" wrapText="1"/>
    </xf>
    <xf numFmtId="0" fontId="2" fillId="12" borderId="0" xfId="0" applyFont="1" applyFill="1" applyAlignment="1">
      <alignment horizontal="center" vertical="center" wrapText="1"/>
    </xf>
    <xf numFmtId="0" fontId="0" fillId="12" borderId="0" xfId="0" applyFill="1" applyAlignment="1">
      <alignment horizontal="left" vertical="top" wrapText="1"/>
    </xf>
    <xf numFmtId="0" fontId="0" fillId="12" borderId="13" xfId="0" applyFill="1" applyBorder="1" applyAlignment="1">
      <alignment horizontal="left" vertical="top" wrapText="1"/>
    </xf>
    <xf numFmtId="0" fontId="0" fillId="2" borderId="14" xfId="0" applyFill="1" applyBorder="1"/>
    <xf numFmtId="0" fontId="0" fillId="2" borderId="15" xfId="0" applyFill="1" applyBorder="1"/>
    <xf numFmtId="0" fontId="0" fillId="12" borderId="16" xfId="0" applyFill="1" applyBorder="1" applyAlignment="1">
      <alignment horizontal="left" vertical="top" wrapText="1"/>
    </xf>
    <xf numFmtId="0" fontId="0" fillId="2" borderId="17" xfId="0" applyFill="1" applyBorder="1"/>
    <xf numFmtId="0" fontId="0" fillId="12" borderId="18" xfId="0" applyFill="1" applyBorder="1" applyAlignment="1">
      <alignment horizontal="left" vertical="top" wrapText="1"/>
    </xf>
    <xf numFmtId="0" fontId="0" fillId="2" borderId="19" xfId="0" applyFill="1" applyBorder="1"/>
    <xf numFmtId="0" fontId="0" fillId="2" borderId="20" xfId="0" applyFill="1" applyBorder="1"/>
    <xf numFmtId="0" fontId="2" fillId="13" borderId="0" xfId="0" applyFont="1" applyFill="1" applyAlignment="1">
      <alignment horizontal="center" vertical="center" wrapText="1"/>
    </xf>
    <xf numFmtId="0" fontId="3" fillId="8" borderId="0" xfId="0" applyFont="1" applyFill="1" applyAlignment="1">
      <alignment horizontal="center"/>
    </xf>
    <xf numFmtId="0" fontId="2" fillId="11" borderId="2" xfId="0" applyFont="1" applyFill="1" applyBorder="1" applyAlignment="1">
      <alignment horizontal="center" vertical="center" wrapText="1"/>
    </xf>
    <xf numFmtId="0" fontId="3" fillId="4" borderId="0" xfId="0" applyFont="1" applyFill="1" applyAlignment="1">
      <alignment horizontal="center"/>
    </xf>
    <xf numFmtId="0" fontId="3" fillId="4" borderId="5" xfId="0" applyFont="1" applyFill="1" applyBorder="1" applyAlignment="1">
      <alignment horizontal="center"/>
    </xf>
    <xf numFmtId="1" fontId="3" fillId="4" borderId="5" xfId="0" applyNumberFormat="1" applyFont="1" applyFill="1" applyBorder="1" applyAlignment="1">
      <alignment horizontal="center"/>
    </xf>
    <xf numFmtId="1" fontId="3" fillId="4" borderId="0" xfId="0" applyNumberFormat="1" applyFont="1" applyFill="1" applyAlignment="1">
      <alignment horizontal="center"/>
    </xf>
    <xf numFmtId="0" fontId="3" fillId="5" borderId="5" xfId="0" applyFont="1" applyFill="1" applyBorder="1" applyAlignment="1">
      <alignment horizontal="center"/>
    </xf>
    <xf numFmtId="0" fontId="3" fillId="5" borderId="0" xfId="0" applyFont="1" applyFill="1" applyAlignment="1">
      <alignment horizontal="center"/>
    </xf>
    <xf numFmtId="0" fontId="3" fillId="6" borderId="0" xfId="0" applyFont="1" applyFill="1" applyAlignment="1">
      <alignment horizontal="center"/>
    </xf>
    <xf numFmtId="1" fontId="3" fillId="5" borderId="0" xfId="0" applyNumberFormat="1" applyFont="1" applyFill="1" applyAlignment="1">
      <alignment horizontal="center"/>
    </xf>
    <xf numFmtId="1" fontId="3" fillId="6" borderId="0" xfId="0" applyNumberFormat="1" applyFont="1" applyFill="1" applyAlignment="1">
      <alignment horizontal="center"/>
    </xf>
    <xf numFmtId="1" fontId="3" fillId="6" borderId="5" xfId="0" applyNumberFormat="1" applyFont="1" applyFill="1" applyBorder="1" applyAlignment="1">
      <alignment horizontal="center"/>
    </xf>
    <xf numFmtId="0" fontId="3" fillId="6" borderId="5" xfId="0" applyFont="1" applyFill="1" applyBorder="1" applyAlignment="1">
      <alignment horizontal="center"/>
    </xf>
    <xf numFmtId="164" fontId="3" fillId="4" borderId="5" xfId="0" applyNumberFormat="1" applyFont="1" applyFill="1" applyBorder="1" applyAlignment="1">
      <alignment horizontal="center"/>
    </xf>
    <xf numFmtId="164" fontId="3" fillId="4" borderId="0" xfId="0" applyNumberFormat="1" applyFont="1" applyFill="1" applyAlignment="1">
      <alignment horizontal="center"/>
    </xf>
    <xf numFmtId="0" fontId="3" fillId="4" borderId="8" xfId="0" applyFont="1" applyFill="1" applyBorder="1" applyAlignment="1">
      <alignment horizontal="center"/>
    </xf>
    <xf numFmtId="164" fontId="3" fillId="4" borderId="8" xfId="0" applyNumberFormat="1" applyFont="1" applyFill="1" applyBorder="1" applyAlignment="1">
      <alignment horizontal="center"/>
    </xf>
    <xf numFmtId="0" fontId="0" fillId="7" borderId="1" xfId="0" applyFill="1" applyBorder="1" applyAlignment="1">
      <alignment horizontal="right"/>
    </xf>
    <xf numFmtId="0" fontId="0" fillId="7" borderId="0" xfId="0" applyFill="1" applyAlignment="1">
      <alignment horizontal="right"/>
    </xf>
    <xf numFmtId="0" fontId="0" fillId="7" borderId="2" xfId="0" applyFill="1" applyBorder="1" applyAlignment="1">
      <alignment horizontal="right"/>
    </xf>
    <xf numFmtId="0" fontId="0" fillId="7" borderId="9" xfId="0" applyFill="1" applyBorder="1" applyAlignment="1">
      <alignment horizontal="right"/>
    </xf>
    <xf numFmtId="0" fontId="0" fillId="7" borderId="4" xfId="0" applyFill="1" applyBorder="1" applyAlignment="1">
      <alignment horizontal="right"/>
    </xf>
    <xf numFmtId="10" fontId="0" fillId="9" borderId="1" xfId="0" applyNumberFormat="1" applyFill="1" applyBorder="1" applyAlignment="1">
      <alignment horizontal="right"/>
    </xf>
    <xf numFmtId="10" fontId="0" fillId="9" borderId="10" xfId="0" applyNumberFormat="1" applyFill="1" applyBorder="1" applyAlignment="1">
      <alignment horizontal="right"/>
    </xf>
    <xf numFmtId="10" fontId="0" fillId="7" borderId="10" xfId="0" applyNumberFormat="1" applyFill="1" applyBorder="1" applyAlignment="1">
      <alignment horizontal="right"/>
    </xf>
    <xf numFmtId="10" fontId="0" fillId="7" borderId="12" xfId="0" applyNumberFormat="1" applyFill="1" applyBorder="1" applyAlignment="1">
      <alignment horizontal="right"/>
    </xf>
    <xf numFmtId="10" fontId="0" fillId="10" borderId="1" xfId="0" applyNumberFormat="1" applyFill="1" applyBorder="1" applyAlignment="1">
      <alignment horizontal="right"/>
    </xf>
    <xf numFmtId="10" fontId="0" fillId="7" borderId="1" xfId="0" applyNumberFormat="1" applyFill="1" applyBorder="1" applyAlignment="1">
      <alignment horizontal="right"/>
    </xf>
    <xf numFmtId="0" fontId="0" fillId="2" borderId="9" xfId="0" applyFill="1" applyBorder="1" applyAlignment="1">
      <alignment horizontal="center"/>
    </xf>
    <xf numFmtId="0" fontId="0" fillId="2" borderId="11" xfId="0" applyFill="1" applyBorder="1" applyAlignment="1">
      <alignment horizontal="center"/>
    </xf>
    <xf numFmtId="0" fontId="0" fillId="2" borderId="10" xfId="0" applyFill="1" applyBorder="1" applyAlignment="1">
      <alignment horizontal="center"/>
    </xf>
    <xf numFmtId="10" fontId="0" fillId="10" borderId="9" xfId="0" applyNumberFormat="1" applyFill="1" applyBorder="1" applyAlignment="1">
      <alignment horizontal="center"/>
    </xf>
    <xf numFmtId="10" fontId="0" fillId="10" borderId="11" xfId="0" applyNumberFormat="1" applyFill="1" applyBorder="1" applyAlignment="1">
      <alignment horizontal="center"/>
    </xf>
    <xf numFmtId="10" fontId="0" fillId="10" borderId="10" xfId="0" applyNumberFormat="1" applyFill="1" applyBorder="1" applyAlignment="1">
      <alignment horizontal="center"/>
    </xf>
    <xf numFmtId="0" fontId="0" fillId="2" borderId="2" xfId="0" applyFill="1" applyBorder="1" applyAlignment="1">
      <alignment horizontal="center" vertical="top" wrapText="1"/>
    </xf>
    <xf numFmtId="0" fontId="0" fillId="2" borderId="21" xfId="0" applyFill="1" applyBorder="1" applyAlignment="1">
      <alignment horizontal="center" vertical="top" wrapText="1"/>
    </xf>
    <xf numFmtId="0" fontId="0" fillId="10" borderId="9" xfId="0" applyFill="1" applyBorder="1" applyAlignment="1">
      <alignment horizontal="center"/>
    </xf>
    <xf numFmtId="0" fontId="0" fillId="10" borderId="11" xfId="0" applyFill="1" applyBorder="1" applyAlignment="1">
      <alignment horizontal="center"/>
    </xf>
    <xf numFmtId="0" fontId="0" fillId="10" borderId="10" xfId="0" applyFill="1" applyBorder="1" applyAlignment="1">
      <alignment horizontal="center"/>
    </xf>
    <xf numFmtId="0" fontId="0" fillId="7" borderId="9" xfId="0" applyFill="1" applyBorder="1" applyAlignment="1">
      <alignment horizontal="center"/>
    </xf>
    <xf numFmtId="0" fontId="0" fillId="7" borderId="11" xfId="0" applyFill="1" applyBorder="1" applyAlignment="1">
      <alignment horizontal="center"/>
    </xf>
    <xf numFmtId="0" fontId="0" fillId="7" borderId="10" xfId="0" applyFill="1" applyBorder="1" applyAlignment="1">
      <alignment horizontal="center"/>
    </xf>
    <xf numFmtId="0" fontId="0" fillId="2" borderId="3" xfId="0" applyFill="1" applyBorder="1" applyAlignment="1">
      <alignment horizontal="center" vertical="top" wrapText="1"/>
    </xf>
    <xf numFmtId="0" fontId="4" fillId="2" borderId="3" xfId="0" applyFont="1" applyFill="1" applyBorder="1" applyAlignment="1">
      <alignment horizontal="center" vertical="top" wrapText="1"/>
    </xf>
    <xf numFmtId="0" fontId="4" fillId="2" borderId="21" xfId="0"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D7"/>
      <rgbColor rgb="FFF2F2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5CE"/>
      <rgbColor rgb="FF99CCFF"/>
      <rgbColor rgb="FFFFAA95"/>
      <rgbColor rgb="FFCC99FF"/>
      <rgbColor rgb="FFFFCC99"/>
      <rgbColor rgb="FF4472C4"/>
      <rgbColor rgb="FF33CCCC"/>
      <rgbColor rgb="FF99CC00"/>
      <rgbColor rgb="FFFFCC00"/>
      <rgbColor rgb="FFFF9900"/>
      <rgbColor rgb="FFFF6600"/>
      <rgbColor rgb="FF666699"/>
      <rgbColor rgb="FF969696"/>
      <rgbColor rgb="FF003366"/>
      <rgbColor rgb="FF339966"/>
      <rgbColor rgb="FF003300"/>
      <rgbColor rgb="FF404040"/>
      <rgbColor rgb="FF993300"/>
      <rgbColor rgb="FF993366"/>
      <rgbColor rgb="FF333399"/>
      <rgbColor rgb="FF262626"/>
      <rgbColor rgb="00003366"/>
      <rgbColor rgb="00339966"/>
      <rgbColor rgb="00003300"/>
      <rgbColor rgb="00333300"/>
      <rgbColor rgb="00993300"/>
      <rgbColor rgb="00993366"/>
      <rgbColor rgb="00333399"/>
      <rgbColor rgb="00333333"/>
    </indexedColors>
    <mruColors>
      <color rgb="FFFFF5CE"/>
      <color rgb="FFECE3BE"/>
      <color rgb="FFFFFFCC"/>
      <color rgb="FFDBF2D1"/>
      <color rgb="FF94DCF9"/>
      <color rgb="FFF3F3F3"/>
      <color rgb="FFF3CEEF"/>
      <color rgb="FFFF867D"/>
      <color rgb="FFF2F2F2"/>
      <color rgb="FFEBAC1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F4" dT="2025-02-15T14:30:08.96" personId="{00000000-0000-0000-0000-000000000000}" id="{7D31A8C9-03ED-43A4-85C6-0564AE685B05}">
    <text>2016-2017: These values are provided in the 2020 CSR Report, but we can confidently conclude that it is a typo since the values are identical to the Scope 2 Market-based emissions for exclusively the subsidiaries (found in the row directly above)</text>
  </threadedComment>
  <threadedComment ref="D10" dT="2025-03-11T12:51:19.52" personId="{00000000-0000-0000-0000-000000000000}" id="{66AE1773-DEA2-441B-B55A-785EB35DDBBC}">
    <text>For all years: Subsidiaries are included</text>
  </threadedComment>
  <threadedComment ref="D11" dT="2025-10-28T11:12:07.81" personId="{00000000-0000-0000-0000-000000000000}" id="{CE2CE7DE-701C-C543-A08F-00FD19FB58EF}">
    <text>For all years: Subsidiaries are included</text>
  </threadedComment>
  <threadedComment ref="E11" dT="2025-10-28T11:12:17.76" personId="{00000000-0000-0000-0000-000000000000}" id="{4270C82E-4954-EA4E-AC1C-EBB0BD4B607A}">
    <text>For all years: Subsidiaries are included</text>
  </threadedComment>
  <threadedComment ref="C20" dT="2024-10-25T13:19:48.71" personId="{00000000-0000-0000-0000-000000000000}" id="{3BAD53B6-E22D-4204-A039-304D59A28844}">
    <text>For all years: Energy values are energy consumed, including renewable energy.
For all years: Subsidiaries are not included
Energy value for 2023 including subsidiaries is 4060,941 GWh. This is for UMC Group including HJ, USCXM, Wavetek, and USJC.</text>
  </threadedComment>
  <threadedComment ref="D20" dT="2025-03-11T12:55:54.02" personId="{00000000-0000-0000-0000-000000000000}" id="{794C6625-4099-4FE4-BCC3-C32C900C9367}">
    <text xml:space="preserve">For all years: Subsidiaries are included </text>
  </threadedComment>
  <threadedComment ref="E20" dT="2025-03-11T12:55:59.08" personId="{00000000-0000-0000-0000-000000000000}" id="{F8F7632F-7849-4988-B1E1-AE433D7F25EE}">
    <text xml:space="preserve">For all years: Subsidiaries are included </text>
  </threadedComment>
  <threadedComment ref="G20" dT="2024-10-30T14:39:48.08" personId="{00000000-0000-0000-0000-000000000000}" id="{FD644647-26E7-4142-B9EC-F5B6E5E03270}">
    <text xml:space="preserve">For all years: Subsidiaries are not included </text>
  </threadedComment>
  <threadedComment ref="D26" dT="2024-12-12T16:16:39.27" personId="{00000000-0000-0000-0000-000000000000}" id="{0FE507C7-9CEC-42B7-A354-36B992A7FECF}">
    <text>"Our combined Scope 1 (direct) and Scope 2 (indirect) GHG emissions decreased 43% on an absolute basis in 2023 from the 2019 baseline. In 2023, we recalculated our GHG emissions for the 2019 baseline year and going forward to incorporate refinements in emission factors used in our GHG inventory and amendments to calculation parameters based on the most recent data available and industry best practices."</text>
  </threadedComment>
  <threadedComment ref="C33" dT="2025-01-03T18:57:43.07" personId="{00000000-0000-0000-0000-000000000000}" id="{1EFA1D30-B0CB-4795-BF04-7AD974428BE3}">
    <text>2015-2016: Converted MMBtu to GWh</text>
  </threadedComment>
  <threadedComment ref="D39" dT="2025-03-11T13:01:19.62" personId="{00000000-0000-0000-0000-000000000000}" id="{7BB0E87A-56ED-4C61-9C16-25CC111916F4}">
    <text>TI has not included fluorinated heat transfer fluids (FHTF) in previous Corporate Citizenship Reports due to the varying calculation methodologies and guidance. Under current World Semiconductor Council (WSC) reporting guidance, the association that tracks semiconductor emissions, there is no requirement to track and report FHTF. Recently introduced U.S. Environmental Protection Agency (EPA) rules for disclosure to the EPA included FHTF and we comply with this requirement. Recently, the WSC has aligned on all regions will moving to 2019 Intergovernmental Panel on Climate Change (IPCC) guidance, which includes FHTF. TI is considering the timing of a transition to the 2019 IPCC guidance and will include FHTF emissions upon adoption.</text>
  </threadedComment>
  <threadedComment ref="G40" dT="2025-03-11T13:04:10.16" personId="{00000000-0000-0000-0000-000000000000}" id="{83E8E11D-C756-4F4E-AC0B-64A436E5952D}">
    <text>"TI reports scope 3 emissions for business travel in its annual CDP survey. In 2024, we will engage a third party to conduct a full accounting and analysis of all applicable upstream and downstream scope 3 categories. TI plans to begin reporting additional relevant scope 3 emission categories in 2025."</text>
  </threadedComment>
  <threadedComment ref="G40" dT="2025-10-28T14:53:47.43" personId="{00000000-0000-0000-0000-000000000000}" id="{B7836C95-A947-0C4D-8959-D3B3B1360BB8}" parentId="{83E8E11D-C756-4F4E-AC0B-64A436E5952D}">
    <text xml:space="preserve">updated based on CSR 2024 report </text>
  </threadedComment>
  <threadedComment ref="D47" dT="2025-03-11T15:01:49.13" personId="{00000000-0000-0000-0000-000000000000}" id="{7C42EFA5-7510-42E4-A6AF-1338DC807134}">
    <text>GHG Protocol and IPCC Guidelines, 2019</text>
  </threadedComment>
  <threadedComment ref="E47" dT="2025-03-11T15:01:40.72" personId="{00000000-0000-0000-0000-000000000000}" id="{8AE8575F-D7D3-471F-A544-C505217B681E}">
    <text>GHG Protocol and IPCC Guidelines, 2019</text>
  </threadedComment>
  <threadedComment ref="C48" dT="2024-11-22T16:42:49.17" personId="{00000000-0000-0000-0000-000000000000}" id="{100EE336-90E9-4EBB-AD92-E5D8F4766A8C}">
    <text>2020-2021: Data revised from prior annual disclosures to reflect the divestiture of Lehi, Utah, operations</text>
  </threadedComment>
  <threadedComment ref="D48" dT="2024-11-22T13:14:14.94" personId="{00000000-0000-0000-0000-000000000000}" id="{AF1D92E3-D000-48DC-9006-143D52542267}">
    <text>GHG Protocol and IPCC Guidelines, 2006
2020-2021: Data revised from prior annual disclosures to reflect the divestiture of Lehi, Utah, operations</text>
  </threadedComment>
  <threadedComment ref="E48" dT="2024-11-22T14:48:05.93" personId="{00000000-0000-0000-0000-000000000000}" id="{D7A28AC6-7DAA-40ED-8A1F-C2C3156692E6}">
    <text>GHG Protocol and IPCC Guidelines,  2006
2020-2021: Data revised from prior annual disclosures to reflect the divestiture of Lehi, Utah, operations</text>
  </threadedComment>
  <threadedComment ref="D49" dT="2024-11-22T13:12:33.22" personId="{00000000-0000-0000-0000-000000000000}" id="{83412C97-0112-46B5-8AEE-1F46B4C520F6}">
    <text>GHG Protocol and IPCC Guidelines,  2019</text>
  </threadedComment>
  <threadedComment ref="E49" dT="2024-11-22T14:48:16.41" personId="{00000000-0000-0000-0000-000000000000}" id="{0F0B7CDD-50C0-47C3-A80C-09EFBD9B4E6F}">
    <text xml:space="preserve">GHG Protocol and IPCC Guidelines,  2019 </text>
  </threadedComment>
  <threadedComment ref="C50" dT="2025-07-18T13:41:26.22" personId="{00000000-0000-0000-0000-000000000000}" id="{F0E35352-CADC-46AE-803F-8C8C1C286157}">
    <text>Checked values from the past which didn't undergo recalculation within the 2025 report are highlighted in green</text>
  </threadedComment>
  <threadedComment ref="D50" dT="2024-11-22T13:12:13.60" personId="{00000000-0000-0000-0000-000000000000}" id="{C4FF4B71-DC98-40AD-BD08-CDFA811BBFF0}">
    <text>GHG Protocol and IPCC Guidelines,  2006</text>
  </threadedComment>
  <threadedComment ref="E50" dT="2024-11-22T14:48:26.26" personId="{00000000-0000-0000-0000-000000000000}" id="{8259ADF4-9C37-40CC-AA44-F16CF92C7D69}">
    <text>GHG Protocol and IPCC Guidelines, 2006</text>
  </threadedComment>
  <threadedComment ref="F50" dT="2025-02-21T19:59:41.24" personId="{00000000-0000-0000-0000-000000000000}" id="{6AA956A6-5025-4CFD-9384-30AF20219409}">
    <text>For all years: Data found in CDP responses</text>
  </threadedComment>
  <threadedComment ref="G50" dT="2025-03-11T14:55:57.08" personId="{00000000-0000-0000-0000-000000000000}" id="{60B875A5-84E7-41EC-8FCA-09DA78D15179}">
    <text>For all years: Data found in CDP responses</text>
  </threadedComment>
  <threadedComment ref="D51" dT="2025-07-18T14:01:25.64" personId="{00000000-0000-0000-0000-000000000000}" id="{43AA9BB7-BCC0-42C7-9AC2-52B7B5E36E86}">
    <text>GHG protocol and IPCC Guidelines, 2019</text>
  </threadedComment>
  <threadedComment ref="E51" dT="2025-07-18T14:01:45.36" personId="{00000000-0000-0000-0000-000000000000}" id="{7D1795C0-FFD8-4253-82F1-B332B6D54865}">
    <text>GHG Protocol and IPCC guidelines, 2019</text>
  </threadedComment>
  <threadedComment ref="D52" dT="2025-03-11T13:13:23.53" personId="{00000000-0000-0000-0000-000000000000}" id="{591F7062-8BA1-4047-9FD2-A545BBFE09A0}">
    <text>Aggregate Scope 1+Scope 2: 1241000</text>
  </threadedComment>
  <threadedComment ref="E52" dT="2024-11-27T18:14:18.23" personId="{00000000-0000-0000-0000-000000000000}" id="{B55BE64C-CF92-44C7-93EB-836E361C10B1}">
    <text>Aggregate Scope 1+Scope 2: 1241000</text>
  </threadedComment>
  <threadedComment ref="D53" dT="2024-11-27T18:13:48.80" personId="{00000000-0000-0000-0000-000000000000}" id="{DFD455F1-C4F4-4921-A44A-AC20BBFC81C4}">
    <text>Aggregate Scope 1+Scope 2: 1404000</text>
  </threadedComment>
  <threadedComment ref="E53" dT="2024-11-27T18:14:10.54" personId="{00000000-0000-0000-0000-000000000000}" id="{7BA2E7A1-68F9-4E9A-BF7C-E3B607702E02}">
    <text>Aggregate Scope 1+Scope 2: 1404000</text>
  </threadedComment>
  <threadedComment ref="D54" dT="2025-01-23T16:30:03.89" personId="{00000000-0000-0000-0000-000000000000}" id="{813AED52-3C04-45D8-956D-327E9DF73675}">
    <text>Found in "Third Party Verification" in the 2019 CSR report on page 121</text>
  </threadedComment>
  <threadedComment ref="E54" dT="2025-01-23T16:30:14.25" personId="{00000000-0000-0000-0000-000000000000}" id="{F9A587F8-98CB-4956-8505-1E73FACB401B}">
    <text>Found in "Third Party Verification" in the 2019 CSR report on page 121</text>
  </threadedComment>
  <threadedComment ref="C55" dT="2024-11-27T18:36:19.92" personId="{00000000-0000-0000-0000-000000000000}" id="{861626E6-89DB-43F2-A7C5-909195905AEA}">
    <text>Approximated value from a chart in the 2021 CSR report on page 67</text>
  </threadedComment>
  <threadedComment ref="C56" dT="2024-11-27T18:36:13.25" personId="{00000000-0000-0000-0000-000000000000}" id="{960101B6-983C-447D-86CB-B6E44F882AF3}">
    <text>Approximated value from a chart in the 2021 CSR report on page 67</text>
  </threadedComment>
  <threadedComment ref="D62" dT="2024-11-01T14:58:07.34" personId="{00000000-0000-0000-0000-000000000000}" id="{F86E90C9-2F2A-44F4-B417-E85B2D073A3D}">
    <text>Converted MTCE to MTCO2</text>
  </threadedComment>
  <threadedComment ref="F62" dT="2024-11-01T14:58:16.01" personId="{00000000-0000-0000-0000-000000000000}" id="{00187D31-BCE1-483F-A147-6BBE20DDA14E}">
    <text>Converted MTCE to MTCO2</text>
  </threadedComment>
  <threadedComment ref="G68" dT="2024-11-01T15:23:27.20" personId="{00000000-0000-0000-0000-000000000000}" id="{42299DF4-5CD8-4E9A-9CA4-AB2506A2537A}">
    <text>2019-2021: Only Business travel reported</text>
  </threadedComment>
  <threadedComment ref="D69" dT="2024-11-01T15:19:09.65" personId="{00000000-0000-0000-0000-000000000000}" id="{3096BF4D-BBE1-44FC-9110-F6C623A29282}">
    <text>Emissions in 2022 are the "enterprise-wide emissions inventories by year"</text>
  </threadedComment>
  <threadedComment ref="D69" dT="2025-07-23T10:51:50.79" personId="{00000000-0000-0000-0000-000000000000}" id="{23E1CB94-9AB4-4082-97A1-AFF121C67B17}" parentId="{3096BF4D-BBE1-44FC-9110-F6C623A29282}">
    <text>Note the significant change in value reported: recalculation from 841104 mtco2e to 1016800 mtco2e. See p. 28, OnSemi Sustainability Report 2024.</text>
  </threadedComment>
  <threadedComment ref="F69" dT="2024-11-01T15:20:32.53" personId="{00000000-0000-0000-0000-000000000000}" id="{5CAA6A06-FBAB-49BF-B55D-930996229047}">
    <text>Emissions in 2022 are the "enterprise-wide emissions inventories by year"</text>
  </threadedComment>
  <threadedComment ref="G69" dT="2024-11-01T15:20:37.17" personId="{00000000-0000-0000-0000-000000000000}" id="{6F28ABCC-69AB-4253-B885-E7E2EDB854B2}">
    <text>"2022 baseline emissions have been recalculated from last year’s disclosure to include emissions from the acquisition of EFK and Scope 1 and 2 has been adjusted to only include manufacturing sites"</text>
  </threadedComment>
  <threadedComment ref="G69" dT="2025-07-23T10:44:50.30" personId="{00000000-0000-0000-0000-000000000000}" id="{06D4D47E-5003-4F36-9BFA-E863EA619B45}" parentId="{6F28ABCC-69AB-4253-B885-E7E2EDB854B2}">
    <text>Value updated in June 2025</text>
  </threadedComment>
  <threadedComment ref="D72" dT="2025-01-21T08:45:07.28" personId="{00000000-0000-0000-0000-000000000000}" id="{6B861E74-737E-4235-82DA-6F083E11606A}">
    <text>Note this value is found in an infograph in the 2015 CSR report on page 10.</text>
  </threadedComment>
  <threadedComment ref="C90" dT="2025-03-11T14:15:32.54" personId="{00000000-0000-0000-0000-000000000000}" id="{9B3365AF-B51E-4E28-846D-547906E46EA7}">
    <text>2015-2024: Converted TJ to GWh</text>
  </threadedComment>
  <threadedComment ref="C101" dT="2025-07-11T12:40:52.27" personId="{00000000-0000-0000-0000-000000000000}" id="{D723DB2A-6488-4DFF-B983-312926FA803E}">
    <text>2020-2024: Converted GJ to GWh</text>
  </threadedComment>
  <threadedComment ref="D101" dT="2025-07-11T13:22:35.77" personId="{00000000-0000-0000-0000-000000000000}" id="{D2901F45-EB56-4532-A9B2-3CB2B4F5EF97}">
    <text>Values found in figure 11 on page 62 of GF-2025 report. Note that the value found in third party verification report and the gross value given on page 116 of GF-2025 is slightly different:
989127 MTCO2e</text>
  </threadedComment>
  <threadedComment ref="F101" dT="2025-07-11T13:12:41.15" personId="{00000000-0000-0000-0000-000000000000}" id="{5DCD3367-D708-4117-93A0-94AA420A3B3C}">
    <text>Found in 3rd party verification report on page 119 in GF-2025 report</text>
  </threadedComment>
  <threadedComment ref="C121" dT="2025-04-04T12:33:37.16" personId="{00000000-0000-0000-0000-000000000000}" id="{1712A09C-3CD3-4A3F-B30A-9D29E722EF85}">
    <text>Converted tonne of coal equivalent to GWh</text>
  </threadedComment>
  <threadedComment ref="G123" dT="2024-11-07T14:18:16.38" personId="{00000000-0000-0000-0000-000000000000}" id="{57B6CA64-DF7F-45C0-B9DE-362CCBEFA4E9}">
    <text>Drop in emissions is due to significant decrease in emissions in Overseas Business Trip category</text>
  </threadedComment>
  <threadedComment ref="G126" dT="2024-11-07T14:07:41.67" personId="{00000000-0000-0000-0000-000000000000}" id="{FCF393E4-2E3D-44A2-B472-BEB33CD460AF}">
    <text>Jump in emissions is due to the inclusion of the Purchased Raw Materials category</text>
  </threadedComment>
  <threadedComment ref="E127" dT="2025-03-11T14:19:18.14" personId="{00000000-0000-0000-0000-000000000000}" id="{D83B3922-F920-4746-B31A-94C463AEDCFD}">
    <text xml:space="preserve">Scope 1+Scope 2 aggregated market-based data given in the 2024 CSR report. Here we subtract the Scope 1 value from the total to find the Scope 2 market-based value. </text>
  </threadedComment>
  <threadedComment ref="E128" dT="2024-11-07T15:02:57.81" personId="{00000000-0000-0000-0000-000000000000}" id="{14BA14FE-DFC5-423C-8F11-75BC417891CB}">
    <text>Values for market-based data found on table in the 2023 CSR report for 2021-2022. Note that the other years are location-based</text>
  </threadedComment>
  <threadedComment ref="C130" dT="2025-03-11T14:16:45.56" personId="{00000000-0000-0000-0000-000000000000}" id="{DA4EEA04-0AFA-43F4-8F7F-70FD6B9E5011}">
    <text>For all years: Underestimate of energy consumed because we used the conversion factor from Korea alone (1GWh=9600GJ) rather than (1GWh=3600GJ) which is used in the rest of the world. Since we don't know the proportion of energy consumed in Korea vs energy consumed in China, we are unable to separate the energy values and calculate back to GWh accurately.</text>
  </threadedComment>
  <threadedComment ref="E130" dT="2024-11-07T15:07:43.95" personId="{00000000-0000-0000-0000-000000000000}" id="{E45B9D35-EA87-45F8-A8CE-30370411E112}">
    <text xml:space="preserve">Scope 1+Scope 2 aggregated market-based data given in the 2024 CSR report. Here we subtract the Scope 1 value from the total to find the Scope 2 market-based value. </text>
  </threadedComment>
  <threadedComment ref="C134" dT="2024-12-13T14:53:39.90" personId="{00000000-0000-0000-0000-000000000000}" id="{946B3481-4FB6-46E2-B384-6E7B52EE8C67}">
    <text>Converted MJ to GWh</text>
  </threadedComment>
  <threadedComment ref="E136" dT="2024-12-16T14:23:09.26" personId="{00000000-0000-0000-0000-000000000000}" id="{C6B57048-F41E-4A1A-84B2-16BA02F848C0}">
    <text>Note that 2015-2019 market based values are assumed to be identical to location-based values which are explicitly given. This is due to the fact that there was no renewable energy consumption, and we know explicitly that the values are identical for 2020-2022</text>
  </threadedComment>
  <threadedComment ref="G140" dT="2025-07-23T14:14:25.63" personId="{00000000-0000-0000-0000-000000000000}" id="{786DF877-3FC9-468D-88B1-F29BA2A2691C}">
    <text xml:space="preserve">Year-by-year evolution of Scope 3 emissions not featured in the 2024 report - impossible to assess the accuracy of numbers reported in the previous years. </text>
  </threadedComment>
  <threadedComment ref="D157" dT="2025-02-21T20:37:34.80" personId="{00000000-0000-0000-0000-000000000000}" id="{85120FAF-9A70-4711-8753-2A38FEBDDCBA}">
    <text>This value may be available but could not be found during data collection</text>
  </threadedComment>
  <threadedComment ref="E157" dT="2025-02-21T20:37:45.20" personId="{00000000-0000-0000-0000-000000000000}" id="{4DAF8665-BC49-4C33-8EB9-0B62122817ED}">
    <text>This value may be available but could not be found during data collection</text>
  </threadedComment>
  <threadedComment ref="G157" dT="2025-03-11T14:23:20.53" personId="{00000000-0000-0000-0000-000000000000}" id="{56FEB8C1-807C-4E70-B5B7-27CF8820A1B6}">
    <text>This value may be available but could not be found during data collection</text>
  </threadedComment>
  <threadedComment ref="F161" dT="2025-10-28T11:34:07.45" personId="{00000000-0000-0000-0000-000000000000}" id="{474EFFD7-B13D-C442-96B7-6C349E25CB3A}">
    <text>first reporting of location-based S2</text>
  </threadedComment>
  <threadedComment ref="E181" dT="2025-07-23T15:25:14.41" personId="{00000000-0000-0000-0000-000000000000}" id="{598330B6-D53E-4FEB-BDD7-7B1C0A05A1B5}">
    <text>Found in third-party verification statement, p. 60, 2025 Report.</text>
  </threadedComment>
  <threadedComment ref="G181" dT="2025-07-23T15:31:34.28" personId="{00000000-0000-0000-0000-000000000000}" id="{201D5A76-71C8-4B4D-BD34-871FB36558A8}">
    <text xml:space="preserve">This calculation does not include Category 1 (purchased goods and services) emissions which will be disclosed separately via CDP reporting. </text>
  </threadedComment>
  <threadedComment ref="C190" dT="2024-10-18T17:27:39.77" personId="{00000000-0000-0000-0000-000000000000}" id="{A24773EC-CFEF-4156-9A5F-F925B1ACC78B}">
    <text>Could potentially calculate total energy consumed using values given for natural gas in m^3 and gas/diesel/petroleum in liters.</text>
  </threadedComment>
  <threadedComment ref="G191" dT="2025-10-28T11:49:38.37" personId="{00000000-0000-0000-0000-000000000000}" id="{DA8EB1C5-7650-8546-BEA3-5078762ED690}">
    <text>announced to start calculation in 2025</text>
  </threadedComment>
  <threadedComment ref="C200" dT="2024-10-18T15:22:16.43" personId="{00000000-0000-0000-0000-000000000000}" id="{8801ADEF-8D81-4C07-B685-F9BCA67D86DE}">
    <text>For all years: Converted GJ to GWh</text>
  </threadedComment>
  <threadedComment ref="A202" dT="2024-11-06T06:56:58.19" personId="{00000000-0000-0000-0000-000000000000}" id="{1B8927BA-6096-44D6-9816-2EF06641779B}">
    <text>Was SMEC, SMIC Shaoxing before</text>
  </threadedComment>
  <threadedComment ref="C209" dT="2024-10-17T14:50:19.87" personId="{00000000-0000-0000-0000-000000000000}" id="{B25E8702-9B21-474A-BA26-E8C486234BC4}">
    <text>For years 2015-2021: Converted TCE to GWh</text>
  </threadedComment>
  <threadedComment ref="E209" dT="2025-07-24T10:28:02.20" personId="{00000000-0000-0000-0000-000000000000}" id="{D382506C-5B5D-4027-B308-6943AEBBF960}">
    <text>Emission factors recalculated in the 2024 report using electricity consumption - average carbon dioxide emission factor for electricity (excluding market-traded non-fossil energy electricity), see p. 27</text>
  </threadedComment>
  <threadedComment ref="D210" dT="2024-10-17T14:05:50.19" personId="{00000000-0000-0000-0000-000000000000}" id="{3CDACC77-91C4-423D-88FF-5BA0062F20BD}">
    <text>2022-2023 Calculated: 
"CO2 emissions from different types of fossil fuel combustion" + "Emissions generated by gas leakage-emissions 1 generated by leakage of raw gas"</text>
  </threadedComment>
  <threadedComment ref="E210" dT="2024-10-17T14:15:03.29" personId="{00000000-0000-0000-0000-000000000000}" id="{39A7F24B-71F0-40E8-8290-9D82B677A562}">
    <text>Emission factors recalculated in the 2024 report using electricity consumption - average carbon dioxide emission factor for electricity (excluding market-traded non-fossil energy electricity)</text>
  </threadedComment>
  <threadedComment ref="C216" dT="2024-10-17T12:48:39.78" personId="{00000000-0000-0000-0000-000000000000}" id="{3605BD07-5882-458C-96E0-4D72D543FAC1}">
    <text>2015-2019: "Total energy purchased from sources external to the organization or self-generated"</text>
  </threadedComment>
  <threadedComment ref="G218" dT="2024-10-17T12:06:35.66" personId="{00000000-0000-0000-0000-000000000000}" id="{2F963ADA-25F1-430F-8514-DD9C414D5C4E}">
    <text>2015-2021: only Product Transport and Business Travel</text>
  </threadedComment>
  <threadedComment ref="C220" dT="2024-10-16T15:12:36.88" personId="{00000000-0000-0000-0000-000000000000}" id="{F1BBC9A0-DB90-4124-9F21-A532C99F1E9A}">
    <text>2020-2023: "This data includes manufacturing sites only"</text>
  </threadedComment>
  <threadedComment ref="C221" dT="2025-04-23T17:20:31.07" personId="{00000000-0000-0000-0000-000000000000}" id="{C057D7D8-7746-4B1E-A3EE-0A0F7AB837CD}">
    <text xml:space="preserve">2015-2024: Converted GJ to GWh </text>
  </threadedComment>
  <threadedComment ref="F230" dT="2025-07-18T14:56:20.24" personId="{00000000-0000-0000-0000-000000000000}" id="{F2FF2381-6400-457F-B2E1-6555790BC568}">
    <text>Previously not featured in the 2023 report</text>
  </threadedComment>
  <threadedComment ref="G231" dT="2025-07-18T15:34:33.73" personId="{00000000-0000-0000-0000-000000000000}" id="{237C1DED-C418-4702-A31E-F9129AA32624}">
    <text>2025 report uses a new calculation method for Scope 3 emissions and revises the 2023 and 2022 numbers (see footnote 2, p.68, 2025 CSR Report)</text>
  </threadedComment>
  <threadedComment ref="D242" dT="2025-03-11T14:47:29.96" personId="{00000000-0000-0000-0000-000000000000}" id="{6C2BD967-1A6E-41EA-9FCD-2CB8B74A65C1}">
    <text>Aggregate Scope 1+Scope 2: 219057</text>
  </threadedComment>
  <threadedComment ref="E242" dT="2025-03-11T14:47:51.54" personId="{00000000-0000-0000-0000-000000000000}" id="{6CB5AA04-D8E8-4810-B4AA-B83571C5FEDB}">
    <text>Aggregate Scope 1+Scope 2: 219057</text>
  </threadedComment>
  <threadedComment ref="D243" dT="2025-03-11T14:46:46.30" personId="{00000000-0000-0000-0000-000000000000}" id="{1E672629-29B0-4532-96C4-706FD6D26F36}">
    <text>Aggregate Scope 1+Scope 2: 217769</text>
  </threadedComment>
  <threadedComment ref="E243" dT="2025-03-11T14:47:01.04" personId="{00000000-0000-0000-0000-000000000000}" id="{84920A94-E590-4518-A7DF-539AD0184EC3}">
    <text>Aggregate Scope 1+Scope 2: 217769</text>
  </threadedComment>
  <threadedComment ref="D244" dT="2025-03-11T14:46:21.17" personId="{00000000-0000-0000-0000-000000000000}" id="{9BD22134-AAE3-4193-8592-33ADF47F0827}">
    <text>Aggregate Scope 1+Scope 2: 146567</text>
  </threadedComment>
  <threadedComment ref="E244" dT="2025-03-11T14:46:28.94" personId="{00000000-0000-0000-0000-000000000000}" id="{B89BBE51-922D-4940-AB38-F52689B53B16}">
    <text>Aggregate Scope 1+Scope 2: 146567</text>
  </threadedComment>
  <threadedComment ref="D245" dT="2025-03-11T14:45:58.83" personId="{00000000-0000-0000-0000-000000000000}" id="{4F6A78F7-3705-4778-8E53-298867F7FFA6}">
    <text>Aggregate Scope 1+Scope 2: 145036</text>
  </threadedComment>
  <threadedComment ref="E245" dT="2025-03-11T14:46:03.75" personId="{00000000-0000-0000-0000-000000000000}" id="{539F7BA0-57C4-4DB5-8A9F-EF71246F4729}">
    <text>Aggregate Scope 1+Scope 2: 145036</text>
  </threadedComment>
  <threadedComment ref="G247" dT="2025-03-11T14:48:53.65" personId="{00000000-0000-0000-0000-000000000000}" id="{21BC1F30-9327-4ED4-A49C-EAC9FAFF0FBF}">
    <text>2015-2020: only Business Travel</text>
  </threadedComment>
  <threadedComment ref="C250" dT="2025-03-11T12:47:53.14" personId="{00000000-0000-0000-0000-000000000000}" id="{07A157E0-F238-4F86-8B35-ED3C74589349}">
    <text>2023: Converted GJ to GWh</text>
  </threadedComment>
  <threadedComment ref="B251" dT="2025-10-24T14:44:47.67" personId="{00000000-0000-0000-0000-000000000000}" id="{3E0A2C88-F4C6-6343-A23F-FEE54B9B760A}">
    <text>Reporting period until November 2024</text>
  </threadedComment>
  <threadedComment ref="C256" dT="2024-11-08T17:55:42.22" personId="{00000000-0000-0000-0000-000000000000}" id="{64572811-4E22-4072-8CB6-DD517B12DC06}">
    <text>Potential typo in the 2023 CRS report. Every other report gives 695,844, but the 2023 CSR report has 691,844.</text>
  </threadedComment>
  <threadedComment ref="G256" dT="2025-03-11T14:50:17.13" personId="{00000000-0000-0000-0000-000000000000}" id="{2B3AB28D-56D9-471E-9C92-0108BB71EA6D}">
    <text>This value may be available but could not be found during data collection</text>
  </threadedComment>
  <threadedComment ref="D270" dT="2024-11-20T16:34:13.85" personId="{00000000-0000-0000-0000-000000000000}" id="{087E8C01-A9E1-4D17-A582-56583EA9AAAA}">
    <text>Note that on the Scope emissions chart 18749 is given as the contribution outside of Taiwan, but in a table below 18835 is given.</text>
  </threadedComment>
  <threadedComment ref="C274" dT="2024-11-21T15:28:57.66" personId="{00000000-0000-0000-0000-000000000000}" id="{79E5FA86-80F0-4D8B-8FA5-115EF35E439D}">
    <text>2015-2017: Converted MJ to GWh.
2015-2017: Summed electricity consumption, natural gas consumption and diesel consumption.</text>
  </threadedComment>
  <threadedComment ref="G278" dT="2025-10-28T12:07:24.70" personId="{00000000-0000-0000-0000-000000000000}" id="{677682BE-00CC-B547-AF56-8F95302A4D5E}">
    <text>value changed based on 2024 report</text>
  </threadedComment>
  <threadedComment ref="C290" dT="2025-04-04T14:34:13.51" personId="{00000000-0000-0000-0000-000000000000}" id="{F34BA0FA-F759-4930-9A6C-21BEF12DAF1C}">
    <text>2020-2023: Converted tonnes of oil equivalent TOE to GWh</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37F39-A420-41BD-A9FF-DF5715605062}">
  <dimension ref="A1:IT297"/>
  <sheetViews>
    <sheetView tabSelected="1" zoomScaleNormal="171" workbookViewId="0">
      <pane ySplit="1" topLeftCell="A84" activePane="bottomLeft" state="frozen"/>
      <selection pane="bottomLeft" activeCell="H102" sqref="H102:H111"/>
    </sheetView>
  </sheetViews>
  <sheetFormatPr baseColWidth="10" defaultColWidth="10.5" defaultRowHeight="15" customHeight="1" x14ac:dyDescent="0.2"/>
  <cols>
    <col min="1" max="1" width="26.5" style="1" bestFit="1" customWidth="1"/>
    <col min="2" max="2" width="12.1640625" style="2" customWidth="1"/>
    <col min="3" max="3" width="30.33203125" style="2" customWidth="1"/>
    <col min="4" max="4" width="25.5" style="2" customWidth="1"/>
    <col min="5" max="5" width="27.1640625" style="2" customWidth="1"/>
    <col min="6" max="6" width="30.6640625" style="2" customWidth="1"/>
    <col min="7" max="7" width="24.5" style="2" customWidth="1"/>
    <col min="8" max="8" width="52.83203125" style="3" customWidth="1"/>
    <col min="9" max="9" width="5.5" style="3" customWidth="1"/>
    <col min="10" max="10" width="4.5" style="15" customWidth="1"/>
    <col min="11" max="14" width="10.6640625" style="3" customWidth="1"/>
    <col min="15" max="15" width="16.33203125" style="3" customWidth="1"/>
    <col min="16" max="26" width="10.6640625" style="3" customWidth="1"/>
    <col min="27" max="27" width="4.5" style="3" customWidth="1"/>
    <col min="28" max="35" width="10.6640625" style="3" customWidth="1"/>
  </cols>
  <sheetData>
    <row r="1" spans="1:254" ht="54.75" customHeight="1" x14ac:dyDescent="0.2">
      <c r="A1" s="27" t="s">
        <v>0</v>
      </c>
      <c r="B1" s="27" t="s">
        <v>1</v>
      </c>
      <c r="C1" s="4" t="s">
        <v>2</v>
      </c>
      <c r="D1" s="4" t="s">
        <v>3</v>
      </c>
      <c r="E1" s="4" t="s">
        <v>4</v>
      </c>
      <c r="F1" s="4" t="s">
        <v>5</v>
      </c>
      <c r="G1" s="4" t="s">
        <v>6</v>
      </c>
      <c r="H1" s="29" t="s">
        <v>7</v>
      </c>
      <c r="I1" s="17"/>
      <c r="J1" s="17"/>
    </row>
    <row r="2" spans="1:254" ht="14.5" customHeight="1" x14ac:dyDescent="0.2">
      <c r="A2" s="28" t="s">
        <v>8</v>
      </c>
      <c r="B2" s="28">
        <v>2015</v>
      </c>
      <c r="C2" s="28">
        <v>8915</v>
      </c>
      <c r="D2" s="28">
        <v>2027645</v>
      </c>
      <c r="E2" s="28">
        <v>4642646</v>
      </c>
      <c r="F2" s="28" t="s">
        <v>9</v>
      </c>
      <c r="G2" s="28">
        <v>3446447</v>
      </c>
      <c r="H2" s="62" t="s">
        <v>10</v>
      </c>
      <c r="I2" s="16"/>
      <c r="J2" s="18"/>
    </row>
    <row r="3" spans="1:254" ht="14.5" customHeight="1" x14ac:dyDescent="0.2">
      <c r="A3" s="28" t="s">
        <v>8</v>
      </c>
      <c r="B3" s="28">
        <v>2016</v>
      </c>
      <c r="C3" s="28">
        <v>9848</v>
      </c>
      <c r="D3" s="28">
        <v>2035510</v>
      </c>
      <c r="E3" s="28">
        <v>5378443</v>
      </c>
      <c r="F3" s="28" t="s">
        <v>9</v>
      </c>
      <c r="G3" s="28">
        <v>3767411</v>
      </c>
      <c r="H3" s="63"/>
      <c r="I3" s="16"/>
      <c r="J3" s="18"/>
    </row>
    <row r="4" spans="1:254" ht="14.5" customHeight="1" x14ac:dyDescent="0.2">
      <c r="A4" s="28" t="s">
        <v>8</v>
      </c>
      <c r="B4" s="28">
        <v>2017</v>
      </c>
      <c r="C4" s="28">
        <v>12016</v>
      </c>
      <c r="D4" s="28">
        <v>2075928</v>
      </c>
      <c r="E4" s="28">
        <v>6080212</v>
      </c>
      <c r="F4" s="28" t="s">
        <v>9</v>
      </c>
      <c r="G4" s="28">
        <v>4242521</v>
      </c>
      <c r="H4" s="63"/>
      <c r="I4" s="16"/>
      <c r="J4" s="18"/>
    </row>
    <row r="5" spans="1:254" ht="14.5" customHeight="1" x14ac:dyDescent="0.2">
      <c r="A5" s="28" t="s">
        <v>8</v>
      </c>
      <c r="B5" s="28">
        <v>2018</v>
      </c>
      <c r="C5" s="28">
        <v>13167</v>
      </c>
      <c r="D5" s="28">
        <v>2125725</v>
      </c>
      <c r="E5" s="28">
        <v>6349642</v>
      </c>
      <c r="F5" s="28">
        <v>7001654</v>
      </c>
      <c r="G5" s="28">
        <v>4315497</v>
      </c>
      <c r="H5" s="63"/>
      <c r="I5" s="16"/>
      <c r="J5" s="18"/>
    </row>
    <row r="6" spans="1:254" ht="14.5" customHeight="1" x14ac:dyDescent="0.2">
      <c r="A6" s="28" t="s">
        <v>8</v>
      </c>
      <c r="B6" s="28">
        <v>2019</v>
      </c>
      <c r="C6" s="28">
        <v>14323</v>
      </c>
      <c r="D6" s="28">
        <v>2071743</v>
      </c>
      <c r="E6" s="28">
        <v>6697872</v>
      </c>
      <c r="F6" s="28">
        <v>7350195</v>
      </c>
      <c r="G6" s="28">
        <v>5307028</v>
      </c>
      <c r="H6" s="63"/>
      <c r="I6" s="16"/>
      <c r="J6" s="18"/>
    </row>
    <row r="7" spans="1:254" ht="14.5" customHeight="1" x14ac:dyDescent="0.2">
      <c r="A7" s="28" t="s">
        <v>8</v>
      </c>
      <c r="B7" s="28">
        <v>2020</v>
      </c>
      <c r="C7" s="28">
        <v>16919</v>
      </c>
      <c r="D7" s="28">
        <v>2004841</v>
      </c>
      <c r="E7" s="28">
        <v>7459856</v>
      </c>
      <c r="F7" s="28">
        <v>8282509</v>
      </c>
      <c r="G7" s="28">
        <v>5511486</v>
      </c>
      <c r="H7" s="63"/>
      <c r="I7" s="16"/>
      <c r="J7" s="18"/>
    </row>
    <row r="8" spans="1:254" ht="14.5" customHeight="1" x14ac:dyDescent="0.2">
      <c r="A8" s="28" t="s">
        <v>8</v>
      </c>
      <c r="B8" s="28">
        <v>2021</v>
      </c>
      <c r="C8" s="28">
        <v>19192</v>
      </c>
      <c r="D8" s="28">
        <v>2151937</v>
      </c>
      <c r="E8" s="28">
        <v>8152497</v>
      </c>
      <c r="F8" s="28">
        <v>9196964</v>
      </c>
      <c r="G8" s="28">
        <v>6049256</v>
      </c>
      <c r="H8" s="63"/>
      <c r="I8" s="16"/>
      <c r="J8" s="18"/>
    </row>
    <row r="9" spans="1:254" ht="14.5" customHeight="1" x14ac:dyDescent="0.2">
      <c r="A9" s="28" t="s">
        <v>8</v>
      </c>
      <c r="B9" s="28">
        <v>2022</v>
      </c>
      <c r="C9" s="28">
        <v>22423</v>
      </c>
      <c r="D9" s="28">
        <v>2018789</v>
      </c>
      <c r="E9" s="28">
        <v>9539765</v>
      </c>
      <c r="F9" s="28">
        <v>10887145</v>
      </c>
      <c r="G9" s="28">
        <v>7429158</v>
      </c>
      <c r="H9" s="63"/>
      <c r="I9" s="16"/>
      <c r="J9" s="18"/>
    </row>
    <row r="10" spans="1:254" ht="14.5" customHeight="1" x14ac:dyDescent="0.2">
      <c r="A10" s="28" t="s">
        <v>8</v>
      </c>
      <c r="B10" s="28">
        <v>2023</v>
      </c>
      <c r="C10" s="28">
        <v>24775</v>
      </c>
      <c r="D10" s="28">
        <v>1596031</v>
      </c>
      <c r="E10" s="28">
        <v>10187387</v>
      </c>
      <c r="F10" s="28">
        <v>11466118</v>
      </c>
      <c r="G10" s="28">
        <v>7616655</v>
      </c>
      <c r="H10" s="63"/>
      <c r="I10" s="16"/>
      <c r="J10" s="18"/>
    </row>
    <row r="11" spans="1:254" ht="15" customHeight="1" x14ac:dyDescent="0.2">
      <c r="A11" s="28" t="s">
        <v>8</v>
      </c>
      <c r="B11" s="28">
        <v>2024</v>
      </c>
      <c r="C11" s="28">
        <v>27477</v>
      </c>
      <c r="D11" s="28">
        <v>1825872</v>
      </c>
      <c r="E11" s="28">
        <v>10957397</v>
      </c>
      <c r="F11" s="28">
        <v>12674921</v>
      </c>
      <c r="G11" s="28">
        <v>8223173</v>
      </c>
      <c r="H11" s="63"/>
      <c r="I11" s="16"/>
      <c r="J11" s="18"/>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c r="CO11" s="3"/>
      <c r="CP11" s="3"/>
      <c r="CQ11" s="3"/>
      <c r="CR11" s="3"/>
      <c r="CS11" s="3"/>
      <c r="CT11" s="3"/>
      <c r="CU11" s="3"/>
      <c r="CV11" s="3"/>
      <c r="CW11" s="3"/>
      <c r="CX11" s="3"/>
      <c r="CY11" s="3"/>
      <c r="CZ11" s="3"/>
      <c r="DA11" s="3"/>
      <c r="DB11" s="3"/>
      <c r="DC11" s="3"/>
      <c r="DD11" s="3"/>
      <c r="DE11" s="3"/>
      <c r="DF11" s="3"/>
      <c r="DG11" s="3"/>
      <c r="DH11" s="3"/>
      <c r="DI11" s="3"/>
      <c r="DJ11" s="3"/>
      <c r="DK11" s="3"/>
      <c r="DL11" s="3"/>
      <c r="DM11" s="3"/>
      <c r="DN11" s="3"/>
      <c r="DO11" s="3"/>
      <c r="DP11" s="3"/>
      <c r="DQ11" s="3"/>
      <c r="DR11" s="3"/>
      <c r="DS11" s="3"/>
      <c r="DT11" s="3"/>
      <c r="DU11" s="3"/>
      <c r="DV11" s="3"/>
      <c r="DW11" s="3"/>
      <c r="DX11" s="3"/>
      <c r="DY11" s="3"/>
      <c r="DZ11" s="3"/>
      <c r="EA11" s="3"/>
      <c r="EB11" s="3"/>
      <c r="EC11" s="3"/>
      <c r="ED11" s="3"/>
      <c r="EE11" s="3"/>
      <c r="EF11" s="3"/>
      <c r="EG11" s="3"/>
      <c r="EH11" s="3"/>
      <c r="EI11" s="3"/>
      <c r="EJ11" s="3"/>
      <c r="EK11" s="3"/>
      <c r="EL11" s="3"/>
      <c r="EM11" s="3"/>
      <c r="EN11" s="3"/>
      <c r="EO11" s="3"/>
      <c r="EP11" s="3"/>
      <c r="EQ11" s="3"/>
      <c r="ER11" s="3"/>
      <c r="ES11" s="3"/>
      <c r="ET11" s="3"/>
      <c r="EU11" s="3"/>
      <c r="EV11" s="3"/>
      <c r="EW11" s="3"/>
      <c r="EX11" s="3"/>
      <c r="EY11" s="3"/>
      <c r="EZ11" s="3"/>
      <c r="FA11" s="3"/>
      <c r="FB11" s="3"/>
      <c r="FC11" s="3"/>
      <c r="FD11" s="3"/>
      <c r="FE11" s="3"/>
      <c r="FF11" s="3"/>
      <c r="FG11" s="3"/>
      <c r="FH11" s="3"/>
      <c r="FI11" s="3"/>
      <c r="FJ11" s="3"/>
      <c r="FK11" s="3"/>
      <c r="FL11" s="3"/>
      <c r="FM11" s="3"/>
      <c r="FN11" s="3"/>
      <c r="FO11" s="3"/>
      <c r="FP11" s="3"/>
      <c r="FQ11" s="3"/>
      <c r="FR11" s="3"/>
      <c r="FS11" s="3"/>
      <c r="FT11" s="3"/>
      <c r="FU11" s="3"/>
      <c r="FV11" s="3"/>
      <c r="FW11" s="3"/>
      <c r="FX11" s="3"/>
      <c r="FY11" s="3"/>
      <c r="FZ11" s="3"/>
      <c r="GA11" s="3"/>
      <c r="GB11" s="3"/>
      <c r="GC11" s="3"/>
      <c r="GD11" s="3"/>
      <c r="GE11" s="3"/>
      <c r="GF11" s="3"/>
      <c r="GG11" s="3"/>
      <c r="GH11" s="3"/>
      <c r="GI11" s="3"/>
      <c r="GJ11" s="3"/>
      <c r="GK11" s="3"/>
      <c r="GL11" s="3"/>
      <c r="GM11" s="3"/>
      <c r="GN11" s="3"/>
      <c r="GO11" s="3"/>
      <c r="GP11" s="3"/>
      <c r="GQ11" s="3"/>
      <c r="GR11" s="3"/>
      <c r="GS11" s="3"/>
      <c r="GT11" s="3"/>
      <c r="GU11" s="3"/>
      <c r="GV11" s="3"/>
      <c r="GW11" s="3"/>
      <c r="GX11" s="3"/>
      <c r="GY11" s="3"/>
      <c r="GZ11" s="3"/>
      <c r="HA11" s="3"/>
      <c r="HB11" s="3"/>
      <c r="HC11" s="3"/>
      <c r="HD11" s="3"/>
      <c r="HE11" s="3"/>
      <c r="HF11" s="3"/>
      <c r="HG11" s="3"/>
      <c r="HH11" s="3"/>
      <c r="HI11" s="3"/>
      <c r="HJ11" s="3"/>
      <c r="HK11" s="3"/>
      <c r="HL11" s="3"/>
      <c r="HM11" s="3"/>
      <c r="HN11" s="3"/>
      <c r="HO11" s="3"/>
      <c r="HP11" s="3"/>
      <c r="HQ11" s="3"/>
      <c r="HR11" s="3"/>
      <c r="HS11" s="3"/>
      <c r="HT11" s="3"/>
      <c r="HU11" s="3"/>
      <c r="HV11" s="3"/>
      <c r="HW11" s="3"/>
      <c r="HX11" s="3"/>
      <c r="HY11" s="3"/>
      <c r="HZ11" s="3"/>
      <c r="IA11" s="3"/>
      <c r="IB11" s="3"/>
      <c r="IC11" s="3"/>
      <c r="ID11" s="3"/>
      <c r="IE11" s="3"/>
      <c r="IF11" s="3"/>
      <c r="IG11" s="3"/>
      <c r="IH11" s="3"/>
      <c r="II11" s="3"/>
      <c r="IJ11" s="3"/>
      <c r="IK11" s="3"/>
      <c r="IL11" s="3"/>
      <c r="IM11" s="3"/>
      <c r="IN11" s="3"/>
      <c r="IO11" s="3"/>
      <c r="IP11" s="3"/>
      <c r="IQ11" s="3"/>
      <c r="IR11" s="3"/>
      <c r="IS11" s="3"/>
      <c r="IT11" s="3"/>
    </row>
    <row r="12" spans="1:254" ht="14.5" customHeight="1" x14ac:dyDescent="0.2">
      <c r="A12" s="7" t="s">
        <v>11</v>
      </c>
      <c r="B12" s="31">
        <v>2015</v>
      </c>
      <c r="C12" s="32">
        <f>2305.685+232.677+1.851</f>
        <v>2540.2130000000002</v>
      </c>
      <c r="D12" s="31">
        <f>621421+141423</f>
        <v>762844</v>
      </c>
      <c r="E12" s="31">
        <f>1167237+150391</f>
        <v>1317628</v>
      </c>
      <c r="F12" s="31" t="s">
        <v>9</v>
      </c>
      <c r="G12" s="31">
        <v>2514200</v>
      </c>
      <c r="H12" s="62" t="s">
        <v>12</v>
      </c>
      <c r="I12" s="16"/>
      <c r="J12" s="18"/>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c r="CO12" s="3"/>
      <c r="CP12" s="3"/>
      <c r="CQ12" s="3"/>
      <c r="CR12" s="3"/>
      <c r="CS12" s="3"/>
      <c r="CT12" s="3"/>
      <c r="CU12" s="3"/>
      <c r="CV12" s="3"/>
      <c r="CW12" s="3"/>
      <c r="CX12" s="3"/>
      <c r="CY12" s="3"/>
      <c r="CZ12" s="3"/>
      <c r="DA12" s="3"/>
      <c r="DB12" s="3"/>
      <c r="DC12" s="3"/>
      <c r="DD12" s="3"/>
      <c r="DE12" s="3"/>
      <c r="DF12" s="3"/>
      <c r="DG12" s="3"/>
      <c r="DH12" s="3"/>
      <c r="DI12" s="3"/>
      <c r="DJ12" s="3"/>
      <c r="DK12" s="3"/>
      <c r="DL12" s="3"/>
      <c r="DM12" s="3"/>
      <c r="DN12" s="3"/>
      <c r="DO12" s="3"/>
      <c r="DP12" s="3"/>
      <c r="DQ12" s="3"/>
      <c r="DR12" s="3"/>
      <c r="DS12" s="3"/>
      <c r="DT12" s="3"/>
      <c r="DU12" s="3"/>
      <c r="DV12" s="3"/>
      <c r="DW12" s="3"/>
      <c r="DX12" s="3"/>
      <c r="DY12" s="3"/>
      <c r="DZ12" s="3"/>
      <c r="EA12" s="3"/>
      <c r="EB12" s="3"/>
      <c r="EC12" s="3"/>
      <c r="ED12" s="3"/>
      <c r="EE12" s="3"/>
      <c r="EF12" s="3"/>
      <c r="EG12" s="3"/>
      <c r="EH12" s="3"/>
      <c r="EI12" s="3"/>
      <c r="EJ12" s="3"/>
      <c r="EK12" s="3"/>
      <c r="EL12" s="3"/>
      <c r="EM12" s="3"/>
      <c r="EN12" s="3"/>
      <c r="EO12" s="3"/>
      <c r="EP12" s="3"/>
      <c r="EQ12" s="3"/>
      <c r="ER12" s="3"/>
      <c r="ES12" s="3"/>
      <c r="ET12" s="3"/>
      <c r="EU12" s="3"/>
      <c r="EV12" s="3"/>
      <c r="EW12" s="3"/>
      <c r="EX12" s="3"/>
      <c r="EY12" s="3"/>
      <c r="EZ12" s="3"/>
      <c r="FA12" s="3"/>
      <c r="FB12" s="3"/>
      <c r="FC12" s="3"/>
      <c r="FD12" s="3"/>
      <c r="FE12" s="3"/>
      <c r="FF12" s="3"/>
      <c r="FG12" s="3"/>
      <c r="FH12" s="3"/>
      <c r="FI12" s="3"/>
      <c r="FJ12" s="3"/>
      <c r="FK12" s="3"/>
      <c r="FL12" s="3"/>
      <c r="FM12" s="3"/>
      <c r="FN12" s="3"/>
      <c r="FO12" s="3"/>
      <c r="FP12" s="3"/>
      <c r="FQ12" s="3"/>
      <c r="FR12" s="3"/>
      <c r="FS12" s="3"/>
      <c r="FT12" s="3"/>
      <c r="FU12" s="3"/>
      <c r="FV12" s="3"/>
      <c r="FW12" s="3"/>
      <c r="FX12" s="3"/>
      <c r="FY12" s="3"/>
      <c r="FZ12" s="3"/>
      <c r="GA12" s="3"/>
      <c r="GB12" s="3"/>
      <c r="GC12" s="3"/>
      <c r="GD12" s="3"/>
      <c r="GE12" s="3"/>
      <c r="GF12" s="3"/>
      <c r="GG12" s="3"/>
      <c r="GH12" s="3"/>
      <c r="GI12" s="3"/>
      <c r="GJ12" s="3"/>
      <c r="GK12" s="3"/>
      <c r="GL12" s="3"/>
      <c r="GM12" s="3"/>
      <c r="GN12" s="3"/>
      <c r="GO12" s="3"/>
      <c r="GP12" s="3"/>
      <c r="GQ12" s="3"/>
      <c r="GR12" s="3"/>
      <c r="GS12" s="3"/>
      <c r="GT12" s="3"/>
      <c r="GU12" s="3"/>
      <c r="GV12" s="3"/>
      <c r="GW12" s="3"/>
      <c r="GX12" s="3"/>
      <c r="GY12" s="3"/>
      <c r="GZ12" s="3"/>
      <c r="HA12" s="3"/>
      <c r="HB12" s="3"/>
      <c r="HC12" s="3"/>
      <c r="HD12" s="3"/>
      <c r="HE12" s="3"/>
      <c r="HF12" s="3"/>
      <c r="HG12" s="3"/>
      <c r="HH12" s="3"/>
      <c r="HI12" s="3"/>
      <c r="HJ12" s="3"/>
      <c r="HK12" s="3"/>
      <c r="HL12" s="3"/>
      <c r="HM12" s="3"/>
      <c r="HN12" s="3"/>
      <c r="HO12" s="3"/>
      <c r="HP12" s="3"/>
      <c r="HQ12" s="3"/>
      <c r="HR12" s="3"/>
      <c r="HS12" s="3"/>
      <c r="HT12" s="3"/>
      <c r="HU12" s="3"/>
      <c r="HV12" s="3"/>
      <c r="HW12" s="3"/>
      <c r="HX12" s="3"/>
      <c r="HY12" s="3"/>
      <c r="HZ12" s="3"/>
      <c r="IA12" s="3"/>
      <c r="IB12" s="3"/>
      <c r="IC12" s="3"/>
      <c r="ID12" s="3"/>
      <c r="IE12" s="3"/>
      <c r="IF12" s="3"/>
      <c r="IG12" s="3"/>
      <c r="IH12" s="3"/>
      <c r="II12" s="3"/>
      <c r="IJ12" s="3"/>
      <c r="IK12" s="3"/>
      <c r="IL12" s="3"/>
      <c r="IM12" s="3"/>
      <c r="IN12" s="3"/>
      <c r="IO12" s="3"/>
      <c r="IP12" s="3"/>
      <c r="IQ12" s="3"/>
      <c r="IR12" s="3"/>
      <c r="IS12" s="3"/>
      <c r="IT12" s="3"/>
    </row>
    <row r="13" spans="1:254" ht="14.5" customHeight="1" x14ac:dyDescent="0.2">
      <c r="A13" s="5" t="s">
        <v>11</v>
      </c>
      <c r="B13" s="30">
        <v>2016</v>
      </c>
      <c r="C13" s="33">
        <f>2290.119+221.602+1.68</f>
        <v>2513.4009999999998</v>
      </c>
      <c r="D13" s="30">
        <f>615917+112038</f>
        <v>727955</v>
      </c>
      <c r="E13" s="30">
        <f>1186435+154177</f>
        <v>1340612</v>
      </c>
      <c r="F13" s="30" t="s">
        <v>9</v>
      </c>
      <c r="G13" s="30">
        <f>1045161+718501+602+14410+582096+941496+1275+2991+335323</f>
        <v>3641855</v>
      </c>
      <c r="H13" s="63"/>
      <c r="I13" s="16"/>
      <c r="J13" s="18"/>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c r="CO13" s="3"/>
      <c r="CP13" s="3"/>
      <c r="CQ13" s="3"/>
      <c r="CR13" s="3"/>
      <c r="CS13" s="3"/>
      <c r="CT13" s="3"/>
      <c r="CU13" s="3"/>
      <c r="CV13" s="3"/>
      <c r="CW13" s="3"/>
      <c r="CX13" s="3"/>
      <c r="CY13" s="3"/>
      <c r="CZ13" s="3"/>
      <c r="DA13" s="3"/>
      <c r="DB13" s="3"/>
      <c r="DC13" s="3"/>
      <c r="DD13" s="3"/>
      <c r="DE13" s="3"/>
      <c r="DF13" s="3"/>
      <c r="DG13" s="3"/>
      <c r="DH13" s="3"/>
      <c r="DI13" s="3"/>
      <c r="DJ13" s="3"/>
      <c r="DK13" s="3"/>
      <c r="DL13" s="3"/>
      <c r="DM13" s="3"/>
      <c r="DN13" s="3"/>
      <c r="DO13" s="3"/>
      <c r="DP13" s="3"/>
      <c r="DQ13" s="3"/>
      <c r="DR13" s="3"/>
      <c r="DS13" s="3"/>
      <c r="DT13" s="3"/>
      <c r="DU13" s="3"/>
      <c r="DV13" s="3"/>
      <c r="DW13" s="3"/>
      <c r="DX13" s="3"/>
      <c r="DY13" s="3"/>
      <c r="DZ13" s="3"/>
      <c r="EA13" s="3"/>
      <c r="EB13" s="3"/>
      <c r="EC13" s="3"/>
      <c r="ED13" s="3"/>
      <c r="EE13" s="3"/>
      <c r="EF13" s="3"/>
      <c r="EG13" s="3"/>
      <c r="EH13" s="3"/>
      <c r="EI13" s="3"/>
      <c r="EJ13" s="3"/>
      <c r="EK13" s="3"/>
      <c r="EL13" s="3"/>
      <c r="EM13" s="3"/>
      <c r="EN13" s="3"/>
      <c r="EO13" s="3"/>
      <c r="EP13" s="3"/>
      <c r="EQ13" s="3"/>
      <c r="ER13" s="3"/>
      <c r="ES13" s="3"/>
      <c r="ET13" s="3"/>
      <c r="EU13" s="3"/>
      <c r="EV13" s="3"/>
      <c r="EW13" s="3"/>
      <c r="EX13" s="3"/>
      <c r="EY13" s="3"/>
      <c r="EZ13" s="3"/>
      <c r="FA13" s="3"/>
      <c r="FB13" s="3"/>
      <c r="FC13" s="3"/>
      <c r="FD13" s="3"/>
      <c r="FE13" s="3"/>
      <c r="FF13" s="3"/>
      <c r="FG13" s="3"/>
      <c r="FH13" s="3"/>
      <c r="FI13" s="3"/>
      <c r="FJ13" s="3"/>
      <c r="FK13" s="3"/>
      <c r="FL13" s="3"/>
      <c r="FM13" s="3"/>
      <c r="FN13" s="3"/>
      <c r="FO13" s="3"/>
      <c r="FP13" s="3"/>
      <c r="FQ13" s="3"/>
      <c r="FR13" s="3"/>
      <c r="FS13" s="3"/>
      <c r="FT13" s="3"/>
      <c r="FU13" s="3"/>
      <c r="FV13" s="3"/>
      <c r="FW13" s="3"/>
      <c r="FX13" s="3"/>
      <c r="FY13" s="3"/>
      <c r="FZ13" s="3"/>
      <c r="GA13" s="3"/>
      <c r="GB13" s="3"/>
      <c r="GC13" s="3"/>
      <c r="GD13" s="3"/>
      <c r="GE13" s="3"/>
      <c r="GF13" s="3"/>
      <c r="GG13" s="3"/>
      <c r="GH13" s="3"/>
      <c r="GI13" s="3"/>
      <c r="GJ13" s="3"/>
      <c r="GK13" s="3"/>
      <c r="GL13" s="3"/>
      <c r="GM13" s="3"/>
      <c r="GN13" s="3"/>
      <c r="GO13" s="3"/>
      <c r="GP13" s="3"/>
      <c r="GQ13" s="3"/>
      <c r="GR13" s="3"/>
      <c r="GS13" s="3"/>
      <c r="GT13" s="3"/>
      <c r="GU13" s="3"/>
      <c r="GV13" s="3"/>
      <c r="GW13" s="3"/>
      <c r="GX13" s="3"/>
      <c r="GY13" s="3"/>
      <c r="GZ13" s="3"/>
      <c r="HA13" s="3"/>
      <c r="HB13" s="3"/>
      <c r="HC13" s="3"/>
      <c r="HD13" s="3"/>
      <c r="HE13" s="3"/>
      <c r="HF13" s="3"/>
      <c r="HG13" s="3"/>
      <c r="HH13" s="3"/>
      <c r="HI13" s="3"/>
      <c r="HJ13" s="3"/>
      <c r="HK13" s="3"/>
      <c r="HL13" s="3"/>
      <c r="HM13" s="3"/>
      <c r="HN13" s="3"/>
      <c r="HO13" s="3"/>
      <c r="HP13" s="3"/>
      <c r="HQ13" s="3"/>
      <c r="HR13" s="3"/>
      <c r="HS13" s="3"/>
      <c r="HT13" s="3"/>
      <c r="HU13" s="3"/>
      <c r="HV13" s="3"/>
      <c r="HW13" s="3"/>
      <c r="HX13" s="3"/>
      <c r="HY13" s="3"/>
      <c r="HZ13" s="3"/>
      <c r="IA13" s="3"/>
      <c r="IB13" s="3"/>
      <c r="IC13" s="3"/>
      <c r="ID13" s="3"/>
      <c r="IE13" s="3"/>
      <c r="IF13" s="3"/>
      <c r="IG13" s="3"/>
      <c r="IH13" s="3"/>
      <c r="II13" s="3"/>
      <c r="IJ13" s="3"/>
      <c r="IK13" s="3"/>
      <c r="IL13" s="3"/>
      <c r="IM13" s="3"/>
      <c r="IN13" s="3"/>
      <c r="IO13" s="3"/>
      <c r="IP13" s="3"/>
      <c r="IQ13" s="3"/>
      <c r="IR13" s="3"/>
      <c r="IS13" s="3"/>
      <c r="IT13" s="3"/>
    </row>
    <row r="14" spans="1:254" ht="14.5" customHeight="1" x14ac:dyDescent="0.2">
      <c r="A14" s="5" t="s">
        <v>11</v>
      </c>
      <c r="B14" s="30">
        <v>2017</v>
      </c>
      <c r="C14" s="33">
        <f>2749.189</f>
        <v>2749.1889999999999</v>
      </c>
      <c r="D14" s="30">
        <f>603958+127975+14615+18699</f>
        <v>765247</v>
      </c>
      <c r="E14" s="30">
        <f>1356479+134605+159658+39015</f>
        <v>1689757</v>
      </c>
      <c r="F14" s="30" t="s">
        <v>9</v>
      </c>
      <c r="G14" s="30">
        <v>2218099</v>
      </c>
      <c r="H14" s="63"/>
      <c r="I14" s="16"/>
      <c r="J14" s="18"/>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c r="CO14" s="3"/>
      <c r="CP14" s="3"/>
      <c r="CQ14" s="3"/>
      <c r="CR14" s="3"/>
      <c r="CS14" s="3"/>
      <c r="CT14" s="3"/>
      <c r="CU14" s="3"/>
      <c r="CV14" s="3"/>
      <c r="CW14" s="3"/>
      <c r="CX14" s="3"/>
      <c r="CY14" s="3"/>
      <c r="CZ14" s="3"/>
      <c r="DA14" s="3"/>
      <c r="DB14" s="3"/>
      <c r="DC14" s="3"/>
      <c r="DD14" s="3"/>
      <c r="DE14" s="3"/>
      <c r="DF14" s="3"/>
      <c r="DG14" s="3"/>
      <c r="DH14" s="3"/>
      <c r="DI14" s="3"/>
      <c r="DJ14" s="3"/>
      <c r="DK14" s="3"/>
      <c r="DL14" s="3"/>
      <c r="DM14" s="3"/>
      <c r="DN14" s="3"/>
      <c r="DO14" s="3"/>
      <c r="DP14" s="3"/>
      <c r="DQ14" s="3"/>
      <c r="DR14" s="3"/>
      <c r="DS14" s="3"/>
      <c r="DT14" s="3"/>
      <c r="DU14" s="3"/>
      <c r="DV14" s="3"/>
      <c r="DW14" s="3"/>
      <c r="DX14" s="3"/>
      <c r="DY14" s="3"/>
      <c r="DZ14" s="3"/>
      <c r="EA14" s="3"/>
      <c r="EB14" s="3"/>
      <c r="EC14" s="3"/>
      <c r="ED14" s="3"/>
      <c r="EE14" s="3"/>
      <c r="EF14" s="3"/>
      <c r="EG14" s="3"/>
      <c r="EH14" s="3"/>
      <c r="EI14" s="3"/>
      <c r="EJ14" s="3"/>
      <c r="EK14" s="3"/>
      <c r="EL14" s="3"/>
      <c r="EM14" s="3"/>
      <c r="EN14" s="3"/>
      <c r="EO14" s="3"/>
      <c r="EP14" s="3"/>
      <c r="EQ14" s="3"/>
      <c r="ER14" s="3"/>
      <c r="ES14" s="3"/>
      <c r="ET14" s="3"/>
      <c r="EU14" s="3"/>
      <c r="EV14" s="3"/>
      <c r="EW14" s="3"/>
      <c r="EX14" s="3"/>
      <c r="EY14" s="3"/>
      <c r="EZ14" s="3"/>
      <c r="FA14" s="3"/>
      <c r="FB14" s="3"/>
      <c r="FC14" s="3"/>
      <c r="FD14" s="3"/>
      <c r="FE14" s="3"/>
      <c r="FF14" s="3"/>
      <c r="FG14" s="3"/>
      <c r="FH14" s="3"/>
      <c r="FI14" s="3"/>
      <c r="FJ14" s="3"/>
      <c r="FK14" s="3"/>
      <c r="FL14" s="3"/>
      <c r="FM14" s="3"/>
      <c r="FN14" s="3"/>
      <c r="FO14" s="3"/>
      <c r="FP14" s="3"/>
      <c r="FQ14" s="3"/>
      <c r="FR14" s="3"/>
      <c r="FS14" s="3"/>
      <c r="FT14" s="3"/>
      <c r="FU14" s="3"/>
      <c r="FV14" s="3"/>
      <c r="FW14" s="3"/>
      <c r="FX14" s="3"/>
      <c r="FY14" s="3"/>
      <c r="FZ14" s="3"/>
      <c r="GA14" s="3"/>
      <c r="GB14" s="3"/>
      <c r="GC14" s="3"/>
      <c r="GD14" s="3"/>
      <c r="GE14" s="3"/>
      <c r="GF14" s="3"/>
      <c r="GG14" s="3"/>
      <c r="GH14" s="3"/>
      <c r="GI14" s="3"/>
      <c r="GJ14" s="3"/>
      <c r="GK14" s="3"/>
      <c r="GL14" s="3"/>
      <c r="GM14" s="3"/>
      <c r="GN14" s="3"/>
      <c r="GO14" s="3"/>
      <c r="GP14" s="3"/>
      <c r="GQ14" s="3"/>
      <c r="GR14" s="3"/>
      <c r="GS14" s="3"/>
      <c r="GT14" s="3"/>
      <c r="GU14" s="3"/>
      <c r="GV14" s="3"/>
      <c r="GW14" s="3"/>
      <c r="GX14" s="3"/>
      <c r="GY14" s="3"/>
      <c r="GZ14" s="3"/>
      <c r="HA14" s="3"/>
      <c r="HB14" s="3"/>
      <c r="HC14" s="3"/>
      <c r="HD14" s="3"/>
      <c r="HE14" s="3"/>
      <c r="HF14" s="3"/>
      <c r="HG14" s="3"/>
      <c r="HH14" s="3"/>
      <c r="HI14" s="3"/>
      <c r="HJ14" s="3"/>
      <c r="HK14" s="3"/>
      <c r="HL14" s="3"/>
      <c r="HM14" s="3"/>
      <c r="HN14" s="3"/>
      <c r="HO14" s="3"/>
      <c r="HP14" s="3"/>
      <c r="HQ14" s="3"/>
      <c r="HR14" s="3"/>
      <c r="HS14" s="3"/>
      <c r="HT14" s="3"/>
      <c r="HU14" s="3"/>
      <c r="HV14" s="3"/>
      <c r="HW14" s="3"/>
      <c r="HX14" s="3"/>
      <c r="HY14" s="3"/>
      <c r="HZ14" s="3"/>
      <c r="IA14" s="3"/>
      <c r="IB14" s="3"/>
      <c r="IC14" s="3"/>
      <c r="ID14" s="3"/>
      <c r="IE14" s="3"/>
      <c r="IF14" s="3"/>
      <c r="IG14" s="3"/>
      <c r="IH14" s="3"/>
      <c r="II14" s="3"/>
      <c r="IJ14" s="3"/>
      <c r="IK14" s="3"/>
      <c r="IL14" s="3"/>
      <c r="IM14" s="3"/>
      <c r="IN14" s="3"/>
      <c r="IO14" s="3"/>
      <c r="IP14" s="3"/>
      <c r="IQ14" s="3"/>
      <c r="IR14" s="3"/>
      <c r="IS14" s="3"/>
      <c r="IT14" s="3"/>
    </row>
    <row r="15" spans="1:254" ht="14.5" customHeight="1" x14ac:dyDescent="0.2">
      <c r="A15" s="5" t="s">
        <v>11</v>
      </c>
      <c r="B15" s="30">
        <v>2018</v>
      </c>
      <c r="C15" s="33">
        <v>2740.2310000000002</v>
      </c>
      <c r="D15" s="30">
        <f>595576+127372+16301+17063</f>
        <v>756312</v>
      </c>
      <c r="E15" s="30">
        <f>1364947+141279+192517+40177</f>
        <v>1738920</v>
      </c>
      <c r="F15" s="30" t="s">
        <v>9</v>
      </c>
      <c r="G15" s="30">
        <v>1967773</v>
      </c>
      <c r="H15" s="63"/>
      <c r="I15" s="16"/>
      <c r="J15" s="18"/>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c r="CO15" s="3"/>
      <c r="CP15" s="3"/>
      <c r="CQ15" s="3"/>
      <c r="CR15" s="3"/>
      <c r="CS15" s="3"/>
      <c r="CT15" s="3"/>
      <c r="CU15" s="3"/>
      <c r="CV15" s="3"/>
      <c r="CW15" s="3"/>
      <c r="CX15" s="3"/>
      <c r="CY15" s="3"/>
      <c r="CZ15" s="3"/>
      <c r="DA15" s="3"/>
      <c r="DB15" s="3"/>
      <c r="DC15" s="3"/>
      <c r="DD15" s="3"/>
      <c r="DE15" s="3"/>
      <c r="DF15" s="3"/>
      <c r="DG15" s="3"/>
      <c r="DH15" s="3"/>
      <c r="DI15" s="3"/>
      <c r="DJ15" s="3"/>
      <c r="DK15" s="3"/>
      <c r="DL15" s="3"/>
      <c r="DM15" s="3"/>
      <c r="DN15" s="3"/>
      <c r="DO15" s="3"/>
      <c r="DP15" s="3"/>
      <c r="DQ15" s="3"/>
      <c r="DR15" s="3"/>
      <c r="DS15" s="3"/>
      <c r="DT15" s="3"/>
      <c r="DU15" s="3"/>
      <c r="DV15" s="3"/>
      <c r="DW15" s="3"/>
      <c r="DX15" s="3"/>
      <c r="DY15" s="3"/>
      <c r="DZ15" s="3"/>
      <c r="EA15" s="3"/>
      <c r="EB15" s="3"/>
      <c r="EC15" s="3"/>
      <c r="ED15" s="3"/>
      <c r="EE15" s="3"/>
      <c r="EF15" s="3"/>
      <c r="EG15" s="3"/>
      <c r="EH15" s="3"/>
      <c r="EI15" s="3"/>
      <c r="EJ15" s="3"/>
      <c r="EK15" s="3"/>
      <c r="EL15" s="3"/>
      <c r="EM15" s="3"/>
      <c r="EN15" s="3"/>
      <c r="EO15" s="3"/>
      <c r="EP15" s="3"/>
      <c r="EQ15" s="3"/>
      <c r="ER15" s="3"/>
      <c r="ES15" s="3"/>
      <c r="ET15" s="3"/>
      <c r="EU15" s="3"/>
      <c r="EV15" s="3"/>
      <c r="EW15" s="3"/>
      <c r="EX15" s="3"/>
      <c r="EY15" s="3"/>
      <c r="EZ15" s="3"/>
      <c r="FA15" s="3"/>
      <c r="FB15" s="3"/>
      <c r="FC15" s="3"/>
      <c r="FD15" s="3"/>
      <c r="FE15" s="3"/>
      <c r="FF15" s="3"/>
      <c r="FG15" s="3"/>
      <c r="FH15" s="3"/>
      <c r="FI15" s="3"/>
      <c r="FJ15" s="3"/>
      <c r="FK15" s="3"/>
      <c r="FL15" s="3"/>
      <c r="FM15" s="3"/>
      <c r="FN15" s="3"/>
      <c r="FO15" s="3"/>
      <c r="FP15" s="3"/>
      <c r="FQ15" s="3"/>
      <c r="FR15" s="3"/>
      <c r="FS15" s="3"/>
      <c r="FT15" s="3"/>
      <c r="FU15" s="3"/>
      <c r="FV15" s="3"/>
      <c r="FW15" s="3"/>
      <c r="FX15" s="3"/>
      <c r="FY15" s="3"/>
      <c r="FZ15" s="3"/>
      <c r="GA15" s="3"/>
      <c r="GB15" s="3"/>
      <c r="GC15" s="3"/>
      <c r="GD15" s="3"/>
      <c r="GE15" s="3"/>
      <c r="GF15" s="3"/>
      <c r="GG15" s="3"/>
      <c r="GH15" s="3"/>
      <c r="GI15" s="3"/>
      <c r="GJ15" s="3"/>
      <c r="GK15" s="3"/>
      <c r="GL15" s="3"/>
      <c r="GM15" s="3"/>
      <c r="GN15" s="3"/>
      <c r="GO15" s="3"/>
      <c r="GP15" s="3"/>
      <c r="GQ15" s="3"/>
      <c r="GR15" s="3"/>
      <c r="GS15" s="3"/>
      <c r="GT15" s="3"/>
      <c r="GU15" s="3"/>
      <c r="GV15" s="3"/>
      <c r="GW15" s="3"/>
      <c r="GX15" s="3"/>
      <c r="GY15" s="3"/>
      <c r="GZ15" s="3"/>
      <c r="HA15" s="3"/>
      <c r="HB15" s="3"/>
      <c r="HC15" s="3"/>
      <c r="HD15" s="3"/>
      <c r="HE15" s="3"/>
      <c r="HF15" s="3"/>
      <c r="HG15" s="3"/>
      <c r="HH15" s="3"/>
      <c r="HI15" s="3"/>
      <c r="HJ15" s="3"/>
      <c r="HK15" s="3"/>
      <c r="HL15" s="3"/>
      <c r="HM15" s="3"/>
      <c r="HN15" s="3"/>
      <c r="HO15" s="3"/>
      <c r="HP15" s="3"/>
      <c r="HQ15" s="3"/>
      <c r="HR15" s="3"/>
      <c r="HS15" s="3"/>
      <c r="HT15" s="3"/>
      <c r="HU15" s="3"/>
      <c r="HV15" s="3"/>
      <c r="HW15" s="3"/>
      <c r="HX15" s="3"/>
      <c r="HY15" s="3"/>
      <c r="HZ15" s="3"/>
      <c r="IA15" s="3"/>
      <c r="IB15" s="3"/>
      <c r="IC15" s="3"/>
      <c r="ID15" s="3"/>
      <c r="IE15" s="3"/>
      <c r="IF15" s="3"/>
      <c r="IG15" s="3"/>
      <c r="IH15" s="3"/>
      <c r="II15" s="3"/>
      <c r="IJ15" s="3"/>
      <c r="IK15" s="3"/>
      <c r="IL15" s="3"/>
      <c r="IM15" s="3"/>
      <c r="IN15" s="3"/>
      <c r="IO15" s="3"/>
      <c r="IP15" s="3"/>
      <c r="IQ15" s="3"/>
      <c r="IR15" s="3"/>
      <c r="IS15" s="3"/>
      <c r="IT15" s="3"/>
    </row>
    <row r="16" spans="1:254" ht="14.5" customHeight="1" x14ac:dyDescent="0.2">
      <c r="A16" s="5" t="s">
        <v>11</v>
      </c>
      <c r="B16" s="30">
        <v>2019</v>
      </c>
      <c r="C16" s="33">
        <v>2725.6439999999998</v>
      </c>
      <c r="D16" s="30">
        <f>701267+195505+33907+21706</f>
        <v>952385</v>
      </c>
      <c r="E16" s="30">
        <f>1317572+149521+211565+36970</f>
        <v>1715628</v>
      </c>
      <c r="F16" s="30" t="s">
        <v>9</v>
      </c>
      <c r="G16" s="30">
        <v>2159255</v>
      </c>
      <c r="H16" s="63"/>
      <c r="I16" s="16"/>
      <c r="J16" s="18"/>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c r="CO16" s="3"/>
      <c r="CP16" s="3"/>
      <c r="CQ16" s="3"/>
      <c r="CR16" s="3"/>
      <c r="CS16" s="3"/>
      <c r="CT16" s="3"/>
      <c r="CU16" s="3"/>
      <c r="CV16" s="3"/>
      <c r="CW16" s="3"/>
      <c r="CX16" s="3"/>
      <c r="CY16" s="3"/>
      <c r="CZ16" s="3"/>
      <c r="DA16" s="3"/>
      <c r="DB16" s="3"/>
      <c r="DC16" s="3"/>
      <c r="DD16" s="3"/>
      <c r="DE16" s="3"/>
      <c r="DF16" s="3"/>
      <c r="DG16" s="3"/>
      <c r="DH16" s="3"/>
      <c r="DI16" s="3"/>
      <c r="DJ16" s="3"/>
      <c r="DK16" s="3"/>
      <c r="DL16" s="3"/>
      <c r="DM16" s="3"/>
      <c r="DN16" s="3"/>
      <c r="DO16" s="3"/>
      <c r="DP16" s="3"/>
      <c r="DQ16" s="3"/>
      <c r="DR16" s="3"/>
      <c r="DS16" s="3"/>
      <c r="DT16" s="3"/>
      <c r="DU16" s="3"/>
      <c r="DV16" s="3"/>
      <c r="DW16" s="3"/>
      <c r="DX16" s="3"/>
      <c r="DY16" s="3"/>
      <c r="DZ16" s="3"/>
      <c r="EA16" s="3"/>
      <c r="EB16" s="3"/>
      <c r="EC16" s="3"/>
      <c r="ED16" s="3"/>
      <c r="EE16" s="3"/>
      <c r="EF16" s="3"/>
      <c r="EG16" s="3"/>
      <c r="EH16" s="3"/>
      <c r="EI16" s="3"/>
      <c r="EJ16" s="3"/>
      <c r="EK16" s="3"/>
      <c r="EL16" s="3"/>
      <c r="EM16" s="3"/>
      <c r="EN16" s="3"/>
      <c r="EO16" s="3"/>
      <c r="EP16" s="3"/>
      <c r="EQ16" s="3"/>
      <c r="ER16" s="3"/>
      <c r="ES16" s="3"/>
      <c r="ET16" s="3"/>
      <c r="EU16" s="3"/>
      <c r="EV16" s="3"/>
      <c r="EW16" s="3"/>
      <c r="EX16" s="3"/>
      <c r="EY16" s="3"/>
      <c r="EZ16" s="3"/>
      <c r="FA16" s="3"/>
      <c r="FB16" s="3"/>
      <c r="FC16" s="3"/>
      <c r="FD16" s="3"/>
      <c r="FE16" s="3"/>
      <c r="FF16" s="3"/>
      <c r="FG16" s="3"/>
      <c r="FH16" s="3"/>
      <c r="FI16" s="3"/>
      <c r="FJ16" s="3"/>
      <c r="FK16" s="3"/>
      <c r="FL16" s="3"/>
      <c r="FM16" s="3"/>
      <c r="FN16" s="3"/>
      <c r="FO16" s="3"/>
      <c r="FP16" s="3"/>
      <c r="FQ16" s="3"/>
      <c r="FR16" s="3"/>
      <c r="FS16" s="3"/>
      <c r="FT16" s="3"/>
      <c r="FU16" s="3"/>
      <c r="FV16" s="3"/>
      <c r="FW16" s="3"/>
      <c r="FX16" s="3"/>
      <c r="FY16" s="3"/>
      <c r="FZ16" s="3"/>
      <c r="GA16" s="3"/>
      <c r="GB16" s="3"/>
      <c r="GC16" s="3"/>
      <c r="GD16" s="3"/>
      <c r="GE16" s="3"/>
      <c r="GF16" s="3"/>
      <c r="GG16" s="3"/>
      <c r="GH16" s="3"/>
      <c r="GI16" s="3"/>
      <c r="GJ16" s="3"/>
      <c r="GK16" s="3"/>
      <c r="GL16" s="3"/>
      <c r="GM16" s="3"/>
      <c r="GN16" s="3"/>
      <c r="GO16" s="3"/>
      <c r="GP16" s="3"/>
      <c r="GQ16" s="3"/>
      <c r="GR16" s="3"/>
      <c r="GS16" s="3"/>
      <c r="GT16" s="3"/>
      <c r="GU16" s="3"/>
      <c r="GV16" s="3"/>
      <c r="GW16" s="3"/>
      <c r="GX16" s="3"/>
      <c r="GY16" s="3"/>
      <c r="GZ16" s="3"/>
      <c r="HA16" s="3"/>
      <c r="HB16" s="3"/>
      <c r="HC16" s="3"/>
      <c r="HD16" s="3"/>
      <c r="HE16" s="3"/>
      <c r="HF16" s="3"/>
      <c r="HG16" s="3"/>
      <c r="HH16" s="3"/>
      <c r="HI16" s="3"/>
      <c r="HJ16" s="3"/>
      <c r="HK16" s="3"/>
      <c r="HL16" s="3"/>
      <c r="HM16" s="3"/>
      <c r="HN16" s="3"/>
      <c r="HO16" s="3"/>
      <c r="HP16" s="3"/>
      <c r="HQ16" s="3"/>
      <c r="HR16" s="3"/>
      <c r="HS16" s="3"/>
      <c r="HT16" s="3"/>
      <c r="HU16" s="3"/>
      <c r="HV16" s="3"/>
      <c r="HW16" s="3"/>
      <c r="HX16" s="3"/>
      <c r="HY16" s="3"/>
      <c r="HZ16" s="3"/>
      <c r="IA16" s="3"/>
      <c r="IB16" s="3"/>
      <c r="IC16" s="3"/>
      <c r="ID16" s="3"/>
      <c r="IE16" s="3"/>
      <c r="IF16" s="3"/>
      <c r="IG16" s="3"/>
      <c r="IH16" s="3"/>
      <c r="II16" s="3"/>
      <c r="IJ16" s="3"/>
      <c r="IK16" s="3"/>
      <c r="IL16" s="3"/>
      <c r="IM16" s="3"/>
      <c r="IN16" s="3"/>
      <c r="IO16" s="3"/>
      <c r="IP16" s="3"/>
      <c r="IQ16" s="3"/>
      <c r="IR16" s="3"/>
      <c r="IS16" s="3"/>
      <c r="IT16" s="3"/>
    </row>
    <row r="17" spans="1:254" ht="14.5" customHeight="1" x14ac:dyDescent="0.2">
      <c r="A17" s="5" t="s">
        <v>11</v>
      </c>
      <c r="B17" s="30">
        <v>2020</v>
      </c>
      <c r="C17" s="33">
        <v>2835.7020000000002</v>
      </c>
      <c r="D17" s="30">
        <v>1047775</v>
      </c>
      <c r="E17" s="30">
        <v>1847299</v>
      </c>
      <c r="F17" s="30" t="s">
        <v>9</v>
      </c>
      <c r="G17" s="30">
        <v>2318460</v>
      </c>
      <c r="H17" s="63"/>
      <c r="I17" s="16"/>
      <c r="J17" s="18"/>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c r="CO17" s="3"/>
      <c r="CP17" s="3"/>
      <c r="CQ17" s="3"/>
      <c r="CR17" s="3"/>
      <c r="CS17" s="3"/>
      <c r="CT17" s="3"/>
      <c r="CU17" s="3"/>
      <c r="CV17" s="3"/>
      <c r="CW17" s="3"/>
      <c r="CX17" s="3"/>
      <c r="CY17" s="3"/>
      <c r="CZ17" s="3"/>
      <c r="DA17" s="3"/>
      <c r="DB17" s="3"/>
      <c r="DC17" s="3"/>
      <c r="DD17" s="3"/>
      <c r="DE17" s="3"/>
      <c r="DF17" s="3"/>
      <c r="DG17" s="3"/>
      <c r="DH17" s="3"/>
      <c r="DI17" s="3"/>
      <c r="DJ17" s="3"/>
      <c r="DK17" s="3"/>
      <c r="DL17" s="3"/>
      <c r="DM17" s="3"/>
      <c r="DN17" s="3"/>
      <c r="DO17" s="3"/>
      <c r="DP17" s="3"/>
      <c r="DQ17" s="3"/>
      <c r="DR17" s="3"/>
      <c r="DS17" s="3"/>
      <c r="DT17" s="3"/>
      <c r="DU17" s="3"/>
      <c r="DV17" s="3"/>
      <c r="DW17" s="3"/>
      <c r="DX17" s="3"/>
      <c r="DY17" s="3"/>
      <c r="DZ17" s="3"/>
      <c r="EA17" s="3"/>
      <c r="EB17" s="3"/>
      <c r="EC17" s="3"/>
      <c r="ED17" s="3"/>
      <c r="EE17" s="3"/>
      <c r="EF17" s="3"/>
      <c r="EG17" s="3"/>
      <c r="EH17" s="3"/>
      <c r="EI17" s="3"/>
      <c r="EJ17" s="3"/>
      <c r="EK17" s="3"/>
      <c r="EL17" s="3"/>
      <c r="EM17" s="3"/>
      <c r="EN17" s="3"/>
      <c r="EO17" s="3"/>
      <c r="EP17" s="3"/>
      <c r="EQ17" s="3"/>
      <c r="ER17" s="3"/>
      <c r="ES17" s="3"/>
      <c r="ET17" s="3"/>
      <c r="EU17" s="3"/>
      <c r="EV17" s="3"/>
      <c r="EW17" s="3"/>
      <c r="EX17" s="3"/>
      <c r="EY17" s="3"/>
      <c r="EZ17" s="3"/>
      <c r="FA17" s="3"/>
      <c r="FB17" s="3"/>
      <c r="FC17" s="3"/>
      <c r="FD17" s="3"/>
      <c r="FE17" s="3"/>
      <c r="FF17" s="3"/>
      <c r="FG17" s="3"/>
      <c r="FH17" s="3"/>
      <c r="FI17" s="3"/>
      <c r="FJ17" s="3"/>
      <c r="FK17" s="3"/>
      <c r="FL17" s="3"/>
      <c r="FM17" s="3"/>
      <c r="FN17" s="3"/>
      <c r="FO17" s="3"/>
      <c r="FP17" s="3"/>
      <c r="FQ17" s="3"/>
      <c r="FR17" s="3"/>
      <c r="FS17" s="3"/>
      <c r="FT17" s="3"/>
      <c r="FU17" s="3"/>
      <c r="FV17" s="3"/>
      <c r="FW17" s="3"/>
      <c r="FX17" s="3"/>
      <c r="FY17" s="3"/>
      <c r="FZ17" s="3"/>
      <c r="GA17" s="3"/>
      <c r="GB17" s="3"/>
      <c r="GC17" s="3"/>
      <c r="GD17" s="3"/>
      <c r="GE17" s="3"/>
      <c r="GF17" s="3"/>
      <c r="GG17" s="3"/>
      <c r="GH17" s="3"/>
      <c r="GI17" s="3"/>
      <c r="GJ17" s="3"/>
      <c r="GK17" s="3"/>
      <c r="GL17" s="3"/>
      <c r="GM17" s="3"/>
      <c r="GN17" s="3"/>
      <c r="GO17" s="3"/>
      <c r="GP17" s="3"/>
      <c r="GQ17" s="3"/>
      <c r="GR17" s="3"/>
      <c r="GS17" s="3"/>
      <c r="GT17" s="3"/>
      <c r="GU17" s="3"/>
      <c r="GV17" s="3"/>
      <c r="GW17" s="3"/>
      <c r="GX17" s="3"/>
      <c r="GY17" s="3"/>
      <c r="GZ17" s="3"/>
      <c r="HA17" s="3"/>
      <c r="HB17" s="3"/>
      <c r="HC17" s="3"/>
      <c r="HD17" s="3"/>
      <c r="HE17" s="3"/>
      <c r="HF17" s="3"/>
      <c r="HG17" s="3"/>
      <c r="HH17" s="3"/>
      <c r="HI17" s="3"/>
      <c r="HJ17" s="3"/>
      <c r="HK17" s="3"/>
      <c r="HL17" s="3"/>
      <c r="HM17" s="3"/>
      <c r="HN17" s="3"/>
      <c r="HO17" s="3"/>
      <c r="HP17" s="3"/>
      <c r="HQ17" s="3"/>
      <c r="HR17" s="3"/>
      <c r="HS17" s="3"/>
      <c r="HT17" s="3"/>
      <c r="HU17" s="3"/>
      <c r="HV17" s="3"/>
      <c r="HW17" s="3"/>
      <c r="HX17" s="3"/>
      <c r="HY17" s="3"/>
      <c r="HZ17" s="3"/>
      <c r="IA17" s="3"/>
      <c r="IB17" s="3"/>
      <c r="IC17" s="3"/>
      <c r="ID17" s="3"/>
      <c r="IE17" s="3"/>
      <c r="IF17" s="3"/>
      <c r="IG17" s="3"/>
      <c r="IH17" s="3"/>
      <c r="II17" s="3"/>
      <c r="IJ17" s="3"/>
      <c r="IK17" s="3"/>
      <c r="IL17" s="3"/>
      <c r="IM17" s="3"/>
      <c r="IN17" s="3"/>
      <c r="IO17" s="3"/>
      <c r="IP17" s="3"/>
      <c r="IQ17" s="3"/>
      <c r="IR17" s="3"/>
      <c r="IS17" s="3"/>
      <c r="IT17" s="3"/>
    </row>
    <row r="18" spans="1:254" ht="14.5" customHeight="1" x14ac:dyDescent="0.2">
      <c r="A18" s="5" t="s">
        <v>11</v>
      </c>
      <c r="B18" s="30">
        <v>2021</v>
      </c>
      <c r="C18" s="33">
        <v>2883.3989999999999</v>
      </c>
      <c r="D18" s="30">
        <v>989426</v>
      </c>
      <c r="E18" s="30">
        <v>1784489</v>
      </c>
      <c r="F18" s="30" t="s">
        <v>9</v>
      </c>
      <c r="G18" s="30">
        <v>2834727</v>
      </c>
      <c r="H18" s="63"/>
      <c r="I18" s="16"/>
      <c r="J18" s="18"/>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c r="CO18" s="3"/>
      <c r="CP18" s="3"/>
      <c r="CQ18" s="3"/>
      <c r="CR18" s="3"/>
      <c r="CS18" s="3"/>
      <c r="CT18" s="3"/>
      <c r="CU18" s="3"/>
      <c r="CV18" s="3"/>
      <c r="CW18" s="3"/>
      <c r="CX18" s="3"/>
      <c r="CY18" s="3"/>
      <c r="CZ18" s="3"/>
      <c r="DA18" s="3"/>
      <c r="DB18" s="3"/>
      <c r="DC18" s="3"/>
      <c r="DD18" s="3"/>
      <c r="DE18" s="3"/>
      <c r="DF18" s="3"/>
      <c r="DG18" s="3"/>
      <c r="DH18" s="3"/>
      <c r="DI18" s="3"/>
      <c r="DJ18" s="3"/>
      <c r="DK18" s="3"/>
      <c r="DL18" s="3"/>
      <c r="DM18" s="3"/>
      <c r="DN18" s="3"/>
      <c r="DO18" s="3"/>
      <c r="DP18" s="3"/>
      <c r="DQ18" s="3"/>
      <c r="DR18" s="3"/>
      <c r="DS18" s="3"/>
      <c r="DT18" s="3"/>
      <c r="DU18" s="3"/>
      <c r="DV18" s="3"/>
      <c r="DW18" s="3"/>
      <c r="DX18" s="3"/>
      <c r="DY18" s="3"/>
      <c r="DZ18" s="3"/>
      <c r="EA18" s="3"/>
      <c r="EB18" s="3"/>
      <c r="EC18" s="3"/>
      <c r="ED18" s="3"/>
      <c r="EE18" s="3"/>
      <c r="EF18" s="3"/>
      <c r="EG18" s="3"/>
      <c r="EH18" s="3"/>
      <c r="EI18" s="3"/>
      <c r="EJ18" s="3"/>
      <c r="EK18" s="3"/>
      <c r="EL18" s="3"/>
      <c r="EM18" s="3"/>
      <c r="EN18" s="3"/>
      <c r="EO18" s="3"/>
      <c r="EP18" s="3"/>
      <c r="EQ18" s="3"/>
      <c r="ER18" s="3"/>
      <c r="ES18" s="3"/>
      <c r="ET18" s="3"/>
      <c r="EU18" s="3"/>
      <c r="EV18" s="3"/>
      <c r="EW18" s="3"/>
      <c r="EX18" s="3"/>
      <c r="EY18" s="3"/>
      <c r="EZ18" s="3"/>
      <c r="FA18" s="3"/>
      <c r="FB18" s="3"/>
      <c r="FC18" s="3"/>
      <c r="FD18" s="3"/>
      <c r="FE18" s="3"/>
      <c r="FF18" s="3"/>
      <c r="FG18" s="3"/>
      <c r="FH18" s="3"/>
      <c r="FI18" s="3"/>
      <c r="FJ18" s="3"/>
      <c r="FK18" s="3"/>
      <c r="FL18" s="3"/>
      <c r="FM18" s="3"/>
      <c r="FN18" s="3"/>
      <c r="FO18" s="3"/>
      <c r="FP18" s="3"/>
      <c r="FQ18" s="3"/>
      <c r="FR18" s="3"/>
      <c r="FS18" s="3"/>
      <c r="FT18" s="3"/>
      <c r="FU18" s="3"/>
      <c r="FV18" s="3"/>
      <c r="FW18" s="3"/>
      <c r="FX18" s="3"/>
      <c r="FY18" s="3"/>
      <c r="FZ18" s="3"/>
      <c r="GA18" s="3"/>
      <c r="GB18" s="3"/>
      <c r="GC18" s="3"/>
      <c r="GD18" s="3"/>
      <c r="GE18" s="3"/>
      <c r="GF18" s="3"/>
      <c r="GG18" s="3"/>
      <c r="GH18" s="3"/>
      <c r="GI18" s="3"/>
      <c r="GJ18" s="3"/>
      <c r="GK18" s="3"/>
      <c r="GL18" s="3"/>
      <c r="GM18" s="3"/>
      <c r="GN18" s="3"/>
      <c r="GO18" s="3"/>
      <c r="GP18" s="3"/>
      <c r="GQ18" s="3"/>
      <c r="GR18" s="3"/>
      <c r="GS18" s="3"/>
      <c r="GT18" s="3"/>
      <c r="GU18" s="3"/>
      <c r="GV18" s="3"/>
      <c r="GW18" s="3"/>
      <c r="GX18" s="3"/>
      <c r="GY18" s="3"/>
      <c r="GZ18" s="3"/>
      <c r="HA18" s="3"/>
      <c r="HB18" s="3"/>
      <c r="HC18" s="3"/>
      <c r="HD18" s="3"/>
      <c r="HE18" s="3"/>
      <c r="HF18" s="3"/>
      <c r="HG18" s="3"/>
      <c r="HH18" s="3"/>
      <c r="HI18" s="3"/>
      <c r="HJ18" s="3"/>
      <c r="HK18" s="3"/>
      <c r="HL18" s="3"/>
      <c r="HM18" s="3"/>
      <c r="HN18" s="3"/>
      <c r="HO18" s="3"/>
      <c r="HP18" s="3"/>
      <c r="HQ18" s="3"/>
      <c r="HR18" s="3"/>
      <c r="HS18" s="3"/>
      <c r="HT18" s="3"/>
      <c r="HU18" s="3"/>
      <c r="HV18" s="3"/>
      <c r="HW18" s="3"/>
      <c r="HX18" s="3"/>
      <c r="HY18" s="3"/>
      <c r="HZ18" s="3"/>
      <c r="IA18" s="3"/>
      <c r="IB18" s="3"/>
      <c r="IC18" s="3"/>
      <c r="ID18" s="3"/>
      <c r="IE18" s="3"/>
      <c r="IF18" s="3"/>
      <c r="IG18" s="3"/>
      <c r="IH18" s="3"/>
      <c r="II18" s="3"/>
      <c r="IJ18" s="3"/>
      <c r="IK18" s="3"/>
      <c r="IL18" s="3"/>
      <c r="IM18" s="3"/>
      <c r="IN18" s="3"/>
      <c r="IO18" s="3"/>
      <c r="IP18" s="3"/>
      <c r="IQ18" s="3"/>
      <c r="IR18" s="3"/>
      <c r="IS18" s="3"/>
      <c r="IT18" s="3"/>
    </row>
    <row r="19" spans="1:254" ht="14.5" customHeight="1" x14ac:dyDescent="0.2">
      <c r="A19" s="5" t="s">
        <v>11</v>
      </c>
      <c r="B19" s="30">
        <v>2022</v>
      </c>
      <c r="C19" s="33">
        <v>3000.645</v>
      </c>
      <c r="D19" s="30">
        <v>865984</v>
      </c>
      <c r="E19" s="30">
        <v>1757833</v>
      </c>
      <c r="F19" s="30" t="s">
        <v>9</v>
      </c>
      <c r="G19" s="30">
        <v>2064284</v>
      </c>
      <c r="H19" s="63"/>
      <c r="I19" s="16"/>
      <c r="J19" s="18"/>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c r="CO19" s="3"/>
      <c r="CP19" s="3"/>
      <c r="CQ19" s="3"/>
      <c r="CR19" s="3"/>
      <c r="CS19" s="3"/>
      <c r="CT19" s="3"/>
      <c r="CU19" s="3"/>
      <c r="CV19" s="3"/>
      <c r="CW19" s="3"/>
      <c r="CX19" s="3"/>
      <c r="CY19" s="3"/>
      <c r="CZ19" s="3"/>
      <c r="DA19" s="3"/>
      <c r="DB19" s="3"/>
      <c r="DC19" s="3"/>
      <c r="DD19" s="3"/>
      <c r="DE19" s="3"/>
      <c r="DF19" s="3"/>
      <c r="DG19" s="3"/>
      <c r="DH19" s="3"/>
      <c r="DI19" s="3"/>
      <c r="DJ19" s="3"/>
      <c r="DK19" s="3"/>
      <c r="DL19" s="3"/>
      <c r="DM19" s="3"/>
      <c r="DN19" s="3"/>
      <c r="DO19" s="3"/>
      <c r="DP19" s="3"/>
      <c r="DQ19" s="3"/>
      <c r="DR19" s="3"/>
      <c r="DS19" s="3"/>
      <c r="DT19" s="3"/>
      <c r="DU19" s="3"/>
      <c r="DV19" s="3"/>
      <c r="DW19" s="3"/>
      <c r="DX19" s="3"/>
      <c r="DY19" s="3"/>
      <c r="DZ19" s="3"/>
      <c r="EA19" s="3"/>
      <c r="EB19" s="3"/>
      <c r="EC19" s="3"/>
      <c r="ED19" s="3"/>
      <c r="EE19" s="3"/>
      <c r="EF19" s="3"/>
      <c r="EG19" s="3"/>
      <c r="EH19" s="3"/>
      <c r="EI19" s="3"/>
      <c r="EJ19" s="3"/>
      <c r="EK19" s="3"/>
      <c r="EL19" s="3"/>
      <c r="EM19" s="3"/>
      <c r="EN19" s="3"/>
      <c r="EO19" s="3"/>
      <c r="EP19" s="3"/>
      <c r="EQ19" s="3"/>
      <c r="ER19" s="3"/>
      <c r="ES19" s="3"/>
      <c r="ET19" s="3"/>
      <c r="EU19" s="3"/>
      <c r="EV19" s="3"/>
      <c r="EW19" s="3"/>
      <c r="EX19" s="3"/>
      <c r="EY19" s="3"/>
      <c r="EZ19" s="3"/>
      <c r="FA19" s="3"/>
      <c r="FB19" s="3"/>
      <c r="FC19" s="3"/>
      <c r="FD19" s="3"/>
      <c r="FE19" s="3"/>
      <c r="FF19" s="3"/>
      <c r="FG19" s="3"/>
      <c r="FH19" s="3"/>
      <c r="FI19" s="3"/>
      <c r="FJ19" s="3"/>
      <c r="FK19" s="3"/>
      <c r="FL19" s="3"/>
      <c r="FM19" s="3"/>
      <c r="FN19" s="3"/>
      <c r="FO19" s="3"/>
      <c r="FP19" s="3"/>
      <c r="FQ19" s="3"/>
      <c r="FR19" s="3"/>
      <c r="FS19" s="3"/>
      <c r="FT19" s="3"/>
      <c r="FU19" s="3"/>
      <c r="FV19" s="3"/>
      <c r="FW19" s="3"/>
      <c r="FX19" s="3"/>
      <c r="FY19" s="3"/>
      <c r="FZ19" s="3"/>
      <c r="GA19" s="3"/>
      <c r="GB19" s="3"/>
      <c r="GC19" s="3"/>
      <c r="GD19" s="3"/>
      <c r="GE19" s="3"/>
      <c r="GF19" s="3"/>
      <c r="GG19" s="3"/>
      <c r="GH19" s="3"/>
      <c r="GI19" s="3"/>
      <c r="GJ19" s="3"/>
      <c r="GK19" s="3"/>
      <c r="GL19" s="3"/>
      <c r="GM19" s="3"/>
      <c r="GN19" s="3"/>
      <c r="GO19" s="3"/>
      <c r="GP19" s="3"/>
      <c r="GQ19" s="3"/>
      <c r="GR19" s="3"/>
      <c r="GS19" s="3"/>
      <c r="GT19" s="3"/>
      <c r="GU19" s="3"/>
      <c r="GV19" s="3"/>
      <c r="GW19" s="3"/>
      <c r="GX19" s="3"/>
      <c r="GY19" s="3"/>
      <c r="GZ19" s="3"/>
      <c r="HA19" s="3"/>
      <c r="HB19" s="3"/>
      <c r="HC19" s="3"/>
      <c r="HD19" s="3"/>
      <c r="HE19" s="3"/>
      <c r="HF19" s="3"/>
      <c r="HG19" s="3"/>
      <c r="HH19" s="3"/>
      <c r="HI19" s="3"/>
      <c r="HJ19" s="3"/>
      <c r="HK19" s="3"/>
      <c r="HL19" s="3"/>
      <c r="HM19" s="3"/>
      <c r="HN19" s="3"/>
      <c r="HO19" s="3"/>
      <c r="HP19" s="3"/>
      <c r="HQ19" s="3"/>
      <c r="HR19" s="3"/>
      <c r="HS19" s="3"/>
      <c r="HT19" s="3"/>
      <c r="HU19" s="3"/>
      <c r="HV19" s="3"/>
      <c r="HW19" s="3"/>
      <c r="HX19" s="3"/>
      <c r="HY19" s="3"/>
      <c r="HZ19" s="3"/>
      <c r="IA19" s="3"/>
      <c r="IB19" s="3"/>
      <c r="IC19" s="3"/>
      <c r="ID19" s="3"/>
      <c r="IE19" s="3"/>
      <c r="IF19" s="3"/>
      <c r="IG19" s="3"/>
      <c r="IH19" s="3"/>
      <c r="II19" s="3"/>
      <c r="IJ19" s="3"/>
      <c r="IK19" s="3"/>
      <c r="IL19" s="3"/>
      <c r="IM19" s="3"/>
      <c r="IN19" s="3"/>
      <c r="IO19" s="3"/>
      <c r="IP19" s="3"/>
      <c r="IQ19" s="3"/>
      <c r="IR19" s="3"/>
      <c r="IS19" s="3"/>
      <c r="IT19" s="3"/>
    </row>
    <row r="20" spans="1:254" ht="15" customHeight="1" x14ac:dyDescent="0.2">
      <c r="A20" s="5" t="s">
        <v>11</v>
      </c>
      <c r="B20" s="30">
        <v>2023</v>
      </c>
      <c r="C20" s="33">
        <f>3050.481</f>
        <v>3050.4810000000002</v>
      </c>
      <c r="D20" s="30">
        <v>509555</v>
      </c>
      <c r="E20" s="30">
        <v>1636208</v>
      </c>
      <c r="F20" s="30" t="s">
        <v>9</v>
      </c>
      <c r="G20" s="30">
        <f>1893167</f>
        <v>1893167</v>
      </c>
      <c r="H20" s="63"/>
      <c r="I20" s="16"/>
      <c r="J20" s="18"/>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c r="CO20" s="3"/>
      <c r="CP20" s="3"/>
      <c r="CQ20" s="3"/>
      <c r="CR20" s="3"/>
      <c r="CS20" s="3"/>
      <c r="CT20" s="3"/>
      <c r="CU20" s="3"/>
      <c r="CV20" s="3"/>
      <c r="CW20" s="3"/>
      <c r="CX20" s="3"/>
      <c r="CY20" s="3"/>
      <c r="CZ20" s="3"/>
      <c r="DA20" s="3"/>
      <c r="DB20" s="3"/>
      <c r="DC20" s="3"/>
      <c r="DD20" s="3"/>
      <c r="DE20" s="3"/>
      <c r="DF20" s="3"/>
      <c r="DG20" s="3"/>
      <c r="DH20" s="3"/>
      <c r="DI20" s="3"/>
      <c r="DJ20" s="3"/>
      <c r="DK20" s="3"/>
      <c r="DL20" s="3"/>
      <c r="DM20" s="3"/>
      <c r="DN20" s="3"/>
      <c r="DO20" s="3"/>
      <c r="DP20" s="3"/>
      <c r="DQ20" s="3"/>
      <c r="DR20" s="3"/>
      <c r="DS20" s="3"/>
      <c r="DT20" s="3"/>
      <c r="DU20" s="3"/>
      <c r="DV20" s="3"/>
      <c r="DW20" s="3"/>
      <c r="DX20" s="3"/>
      <c r="DY20" s="3"/>
      <c r="DZ20" s="3"/>
      <c r="EA20" s="3"/>
      <c r="EB20" s="3"/>
      <c r="EC20" s="3"/>
      <c r="ED20" s="3"/>
      <c r="EE20" s="3"/>
      <c r="EF20" s="3"/>
      <c r="EG20" s="3"/>
      <c r="EH20" s="3"/>
      <c r="EI20" s="3"/>
      <c r="EJ20" s="3"/>
      <c r="EK20" s="3"/>
      <c r="EL20" s="3"/>
      <c r="EM20" s="3"/>
      <c r="EN20" s="3"/>
      <c r="EO20" s="3"/>
      <c r="EP20" s="3"/>
      <c r="EQ20" s="3"/>
      <c r="ER20" s="3"/>
      <c r="ES20" s="3"/>
      <c r="ET20" s="3"/>
      <c r="EU20" s="3"/>
      <c r="EV20" s="3"/>
      <c r="EW20" s="3"/>
      <c r="EX20" s="3"/>
      <c r="EY20" s="3"/>
      <c r="EZ20" s="3"/>
      <c r="FA20" s="3"/>
      <c r="FB20" s="3"/>
      <c r="FC20" s="3"/>
      <c r="FD20" s="3"/>
      <c r="FE20" s="3"/>
      <c r="FF20" s="3"/>
      <c r="FG20" s="3"/>
      <c r="FH20" s="3"/>
      <c r="FI20" s="3"/>
      <c r="FJ20" s="3"/>
      <c r="FK20" s="3"/>
      <c r="FL20" s="3"/>
      <c r="FM20" s="3"/>
      <c r="FN20" s="3"/>
      <c r="FO20" s="3"/>
      <c r="FP20" s="3"/>
      <c r="FQ20" s="3"/>
      <c r="FR20" s="3"/>
      <c r="FS20" s="3"/>
      <c r="FT20" s="3"/>
      <c r="FU20" s="3"/>
      <c r="FV20" s="3"/>
      <c r="FW20" s="3"/>
      <c r="FX20" s="3"/>
      <c r="FY20" s="3"/>
      <c r="FZ20" s="3"/>
      <c r="GA20" s="3"/>
      <c r="GB20" s="3"/>
      <c r="GC20" s="3"/>
      <c r="GD20" s="3"/>
      <c r="GE20" s="3"/>
      <c r="GF20" s="3"/>
      <c r="GG20" s="3"/>
      <c r="GH20" s="3"/>
      <c r="GI20" s="3"/>
      <c r="GJ20" s="3"/>
      <c r="GK20" s="3"/>
      <c r="GL20" s="3"/>
      <c r="GM20" s="3"/>
      <c r="GN20" s="3"/>
      <c r="GO20" s="3"/>
      <c r="GP20" s="3"/>
      <c r="GQ20" s="3"/>
      <c r="GR20" s="3"/>
      <c r="GS20" s="3"/>
      <c r="GT20" s="3"/>
      <c r="GU20" s="3"/>
      <c r="GV20" s="3"/>
      <c r="GW20" s="3"/>
      <c r="GX20" s="3"/>
      <c r="GY20" s="3"/>
      <c r="GZ20" s="3"/>
      <c r="HA20" s="3"/>
      <c r="HB20" s="3"/>
      <c r="HC20" s="3"/>
      <c r="HD20" s="3"/>
      <c r="HE20" s="3"/>
      <c r="HF20" s="3"/>
      <c r="HG20" s="3"/>
      <c r="HH20" s="3"/>
      <c r="HI20" s="3"/>
      <c r="HJ20" s="3"/>
      <c r="HK20" s="3"/>
      <c r="HL20" s="3"/>
      <c r="HM20" s="3"/>
      <c r="HN20" s="3"/>
      <c r="HO20" s="3"/>
      <c r="HP20" s="3"/>
      <c r="HQ20" s="3"/>
      <c r="HR20" s="3"/>
      <c r="HS20" s="3"/>
      <c r="HT20" s="3"/>
      <c r="HU20" s="3"/>
      <c r="HV20" s="3"/>
      <c r="HW20" s="3"/>
      <c r="HX20" s="3"/>
      <c r="HY20" s="3"/>
      <c r="HZ20" s="3"/>
      <c r="IA20" s="3"/>
      <c r="IB20" s="3"/>
      <c r="IC20" s="3"/>
      <c r="ID20" s="3"/>
      <c r="IE20" s="3"/>
      <c r="IF20" s="3"/>
      <c r="IG20" s="3"/>
      <c r="IH20" s="3"/>
      <c r="II20" s="3"/>
      <c r="IJ20" s="3"/>
      <c r="IK20" s="3"/>
      <c r="IL20" s="3"/>
      <c r="IM20" s="3"/>
      <c r="IN20" s="3"/>
      <c r="IO20" s="3"/>
      <c r="IP20" s="3"/>
      <c r="IQ20" s="3"/>
      <c r="IR20" s="3"/>
      <c r="IS20" s="3"/>
      <c r="IT20" s="3"/>
    </row>
    <row r="21" spans="1:254" ht="14.5" customHeight="1" x14ac:dyDescent="0.2">
      <c r="A21" s="5" t="s">
        <v>11</v>
      </c>
      <c r="B21" s="30">
        <v>2024</v>
      </c>
      <c r="C21" s="33">
        <v>3085</v>
      </c>
      <c r="D21" s="30">
        <v>463670</v>
      </c>
      <c r="E21" s="30">
        <v>1523855</v>
      </c>
      <c r="F21" s="30" t="s">
        <v>9</v>
      </c>
      <c r="G21" s="30">
        <v>1713507</v>
      </c>
      <c r="H21" s="63"/>
      <c r="I21" s="16"/>
      <c r="J21" s="18"/>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c r="CO21" s="3"/>
      <c r="CP21" s="3"/>
      <c r="CQ21" s="3"/>
      <c r="CR21" s="3"/>
      <c r="CS21" s="3"/>
      <c r="CT21" s="3"/>
      <c r="CU21" s="3"/>
      <c r="CV21" s="3"/>
      <c r="CW21" s="3"/>
      <c r="CX21" s="3"/>
      <c r="CY21" s="3"/>
      <c r="CZ21" s="3"/>
      <c r="DA21" s="3"/>
      <c r="DB21" s="3"/>
      <c r="DC21" s="3"/>
      <c r="DD21" s="3"/>
      <c r="DE21" s="3"/>
      <c r="DF21" s="3"/>
      <c r="DG21" s="3"/>
      <c r="DH21" s="3"/>
      <c r="DI21" s="3"/>
      <c r="DJ21" s="3"/>
      <c r="DK21" s="3"/>
      <c r="DL21" s="3"/>
      <c r="DM21" s="3"/>
      <c r="DN21" s="3"/>
      <c r="DO21" s="3"/>
      <c r="DP21" s="3"/>
      <c r="DQ21" s="3"/>
      <c r="DR21" s="3"/>
      <c r="DS21" s="3"/>
      <c r="DT21" s="3"/>
      <c r="DU21" s="3"/>
      <c r="DV21" s="3"/>
      <c r="DW21" s="3"/>
      <c r="DX21" s="3"/>
      <c r="DY21" s="3"/>
      <c r="DZ21" s="3"/>
      <c r="EA21" s="3"/>
      <c r="EB21" s="3"/>
      <c r="EC21" s="3"/>
      <c r="ED21" s="3"/>
      <c r="EE21" s="3"/>
      <c r="EF21" s="3"/>
      <c r="EG21" s="3"/>
      <c r="EH21" s="3"/>
      <c r="EI21" s="3"/>
      <c r="EJ21" s="3"/>
      <c r="EK21" s="3"/>
      <c r="EL21" s="3"/>
      <c r="EM21" s="3"/>
      <c r="EN21" s="3"/>
      <c r="EO21" s="3"/>
      <c r="EP21" s="3"/>
      <c r="EQ21" s="3"/>
      <c r="ER21" s="3"/>
      <c r="ES21" s="3"/>
      <c r="ET21" s="3"/>
      <c r="EU21" s="3"/>
      <c r="EV21" s="3"/>
      <c r="EW21" s="3"/>
      <c r="EX21" s="3"/>
      <c r="EY21" s="3"/>
      <c r="EZ21" s="3"/>
      <c r="FA21" s="3"/>
      <c r="FB21" s="3"/>
      <c r="FC21" s="3"/>
      <c r="FD21" s="3"/>
      <c r="FE21" s="3"/>
      <c r="FF21" s="3"/>
      <c r="FG21" s="3"/>
      <c r="FH21" s="3"/>
      <c r="FI21" s="3"/>
      <c r="FJ21" s="3"/>
      <c r="FK21" s="3"/>
      <c r="FL21" s="3"/>
      <c r="FM21" s="3"/>
      <c r="FN21" s="3"/>
      <c r="FO21" s="3"/>
      <c r="FP21" s="3"/>
      <c r="FQ21" s="3"/>
      <c r="FR21" s="3"/>
      <c r="FS21" s="3"/>
      <c r="FT21" s="3"/>
      <c r="FU21" s="3"/>
      <c r="FV21" s="3"/>
      <c r="FW21" s="3"/>
      <c r="FX21" s="3"/>
      <c r="FY21" s="3"/>
      <c r="FZ21" s="3"/>
      <c r="GA21" s="3"/>
      <c r="GB21" s="3"/>
      <c r="GC21" s="3"/>
      <c r="GD21" s="3"/>
      <c r="GE21" s="3"/>
      <c r="GF21" s="3"/>
      <c r="GG21" s="3"/>
      <c r="GH21" s="3"/>
      <c r="GI21" s="3"/>
      <c r="GJ21" s="3"/>
      <c r="GK21" s="3"/>
      <c r="GL21" s="3"/>
      <c r="GM21" s="3"/>
      <c r="GN21" s="3"/>
      <c r="GO21" s="3"/>
      <c r="GP21" s="3"/>
      <c r="GQ21" s="3"/>
      <c r="GR21" s="3"/>
      <c r="GS21" s="3"/>
      <c r="GT21" s="3"/>
      <c r="GU21" s="3"/>
      <c r="GV21" s="3"/>
      <c r="GW21" s="3"/>
      <c r="GX21" s="3"/>
      <c r="GY21" s="3"/>
      <c r="GZ21" s="3"/>
      <c r="HA21" s="3"/>
      <c r="HB21" s="3"/>
      <c r="HC21" s="3"/>
      <c r="HD21" s="3"/>
      <c r="HE21" s="3"/>
      <c r="HF21" s="3"/>
      <c r="HG21" s="3"/>
      <c r="HH21" s="3"/>
      <c r="HI21" s="3"/>
      <c r="HJ21" s="3"/>
      <c r="HK21" s="3"/>
      <c r="HL21" s="3"/>
      <c r="HM21" s="3"/>
      <c r="HN21" s="3"/>
      <c r="HO21" s="3"/>
      <c r="HP21" s="3"/>
      <c r="HQ21" s="3"/>
      <c r="HR21" s="3"/>
      <c r="HS21" s="3"/>
      <c r="HT21" s="3"/>
      <c r="HU21" s="3"/>
      <c r="HV21" s="3"/>
      <c r="HW21" s="3"/>
      <c r="HX21" s="3"/>
      <c r="HY21" s="3"/>
      <c r="HZ21" s="3"/>
      <c r="IA21" s="3"/>
      <c r="IB21" s="3"/>
      <c r="IC21" s="3"/>
      <c r="ID21" s="3"/>
      <c r="IE21" s="3"/>
      <c r="IF21" s="3"/>
      <c r="IG21" s="3"/>
      <c r="IH21" s="3"/>
      <c r="II21" s="3"/>
      <c r="IJ21" s="3"/>
      <c r="IK21" s="3"/>
      <c r="IL21" s="3"/>
      <c r="IM21" s="3"/>
      <c r="IN21" s="3"/>
      <c r="IO21" s="3"/>
      <c r="IP21" s="3"/>
      <c r="IQ21" s="3"/>
      <c r="IR21" s="3"/>
      <c r="IS21" s="3"/>
      <c r="IT21" s="3"/>
    </row>
    <row r="22" spans="1:254" ht="14.5" customHeight="1" x14ac:dyDescent="0.2">
      <c r="A22" s="7" t="s">
        <v>13</v>
      </c>
      <c r="B22" s="31">
        <v>2015</v>
      </c>
      <c r="C22" s="31">
        <f>(5.2+1+0.02)*1000</f>
        <v>6220</v>
      </c>
      <c r="D22" s="31">
        <f>(1.06)*1000000</f>
        <v>1060000</v>
      </c>
      <c r="E22" s="31">
        <f>0.95*1000000</f>
        <v>950000</v>
      </c>
      <c r="F22" s="31">
        <v>2440000</v>
      </c>
      <c r="G22" s="31">
        <f>138000+232000+142000+1050000</f>
        <v>1562000</v>
      </c>
      <c r="H22" s="62" t="s">
        <v>14</v>
      </c>
      <c r="I22" s="16"/>
      <c r="J22" s="18"/>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c r="CO22" s="3"/>
      <c r="CP22" s="3"/>
      <c r="CQ22" s="3"/>
      <c r="CR22" s="3"/>
      <c r="CS22" s="3"/>
      <c r="CT22" s="3"/>
      <c r="CU22" s="3"/>
      <c r="CV22" s="3"/>
      <c r="CW22" s="3"/>
      <c r="CX22" s="3"/>
      <c r="CY22" s="3"/>
      <c r="CZ22" s="3"/>
      <c r="DA22" s="3"/>
      <c r="DB22" s="3"/>
      <c r="DC22" s="3"/>
      <c r="DD22" s="3"/>
      <c r="DE22" s="3"/>
      <c r="DF22" s="3"/>
      <c r="DG22" s="3"/>
      <c r="DH22" s="3"/>
      <c r="DI22" s="3"/>
      <c r="DJ22" s="3"/>
      <c r="DK22" s="3"/>
      <c r="DL22" s="3"/>
      <c r="DM22" s="3"/>
      <c r="DN22" s="3"/>
      <c r="DO22" s="3"/>
      <c r="DP22" s="3"/>
      <c r="DQ22" s="3"/>
      <c r="DR22" s="3"/>
      <c r="DS22" s="3"/>
      <c r="DT22" s="3"/>
      <c r="DU22" s="3"/>
      <c r="DV22" s="3"/>
      <c r="DW22" s="3"/>
      <c r="DX22" s="3"/>
      <c r="DY22" s="3"/>
      <c r="DZ22" s="3"/>
      <c r="EA22" s="3"/>
      <c r="EB22" s="3"/>
      <c r="EC22" s="3"/>
      <c r="ED22" s="3"/>
      <c r="EE22" s="3"/>
      <c r="EF22" s="3"/>
      <c r="EG22" s="3"/>
      <c r="EH22" s="3"/>
      <c r="EI22" s="3"/>
      <c r="EJ22" s="3"/>
      <c r="EK22" s="3"/>
      <c r="EL22" s="3"/>
      <c r="EM22" s="3"/>
      <c r="EN22" s="3"/>
      <c r="EO22" s="3"/>
      <c r="EP22" s="3"/>
      <c r="EQ22" s="3"/>
      <c r="ER22" s="3"/>
      <c r="ES22" s="3"/>
      <c r="ET22" s="3"/>
      <c r="EU22" s="3"/>
      <c r="EV22" s="3"/>
      <c r="EW22" s="3"/>
      <c r="EX22" s="3"/>
      <c r="EY22" s="3"/>
      <c r="EZ22" s="3"/>
      <c r="FA22" s="3"/>
      <c r="FB22" s="3"/>
      <c r="FC22" s="3"/>
      <c r="FD22" s="3"/>
      <c r="FE22" s="3"/>
      <c r="FF22" s="3"/>
      <c r="FG22" s="3"/>
      <c r="FH22" s="3"/>
      <c r="FI22" s="3"/>
      <c r="FJ22" s="3"/>
      <c r="FK22" s="3"/>
      <c r="FL22" s="3"/>
      <c r="FM22" s="3"/>
      <c r="FN22" s="3"/>
      <c r="FO22" s="3"/>
      <c r="FP22" s="3"/>
      <c r="FQ22" s="3"/>
      <c r="FR22" s="3"/>
      <c r="FS22" s="3"/>
      <c r="FT22" s="3"/>
      <c r="FU22" s="3"/>
      <c r="FV22" s="3"/>
      <c r="FW22" s="3"/>
      <c r="FX22" s="3"/>
      <c r="FY22" s="3"/>
      <c r="FZ22" s="3"/>
      <c r="GA22" s="3"/>
      <c r="GB22" s="3"/>
      <c r="GC22" s="3"/>
      <c r="GD22" s="3"/>
      <c r="GE22" s="3"/>
      <c r="GF22" s="3"/>
      <c r="GG22" s="3"/>
      <c r="GH22" s="3"/>
      <c r="GI22" s="3"/>
      <c r="GJ22" s="3"/>
      <c r="GK22" s="3"/>
      <c r="GL22" s="3"/>
      <c r="GM22" s="3"/>
      <c r="GN22" s="3"/>
      <c r="GO22" s="3"/>
      <c r="GP22" s="3"/>
      <c r="GQ22" s="3"/>
      <c r="GR22" s="3"/>
      <c r="GS22" s="3"/>
      <c r="GT22" s="3"/>
      <c r="GU22" s="3"/>
      <c r="GV22" s="3"/>
      <c r="GW22" s="3"/>
      <c r="GX22" s="3"/>
      <c r="GY22" s="3"/>
      <c r="GZ22" s="3"/>
      <c r="HA22" s="3"/>
      <c r="HB22" s="3"/>
      <c r="HC22" s="3"/>
      <c r="HD22" s="3"/>
      <c r="HE22" s="3"/>
      <c r="HF22" s="3"/>
      <c r="HG22" s="3"/>
      <c r="HH22" s="3"/>
      <c r="HI22" s="3"/>
      <c r="HJ22" s="3"/>
      <c r="HK22" s="3"/>
      <c r="HL22" s="3"/>
      <c r="HM22" s="3"/>
      <c r="HN22" s="3"/>
      <c r="HO22" s="3"/>
      <c r="HP22" s="3"/>
      <c r="HQ22" s="3"/>
      <c r="HR22" s="3"/>
      <c r="HS22" s="3"/>
      <c r="HT22" s="3"/>
      <c r="HU22" s="3"/>
      <c r="HV22" s="3"/>
      <c r="HW22" s="3"/>
      <c r="HX22" s="3"/>
      <c r="HY22" s="3"/>
      <c r="HZ22" s="3"/>
      <c r="IA22" s="3"/>
      <c r="IB22" s="3"/>
      <c r="IC22" s="3"/>
      <c r="ID22" s="3"/>
      <c r="IE22" s="3"/>
      <c r="IF22" s="3"/>
      <c r="IG22" s="3"/>
      <c r="IH22" s="3"/>
      <c r="II22" s="3"/>
      <c r="IJ22" s="3"/>
      <c r="IK22" s="3"/>
      <c r="IL22" s="3"/>
      <c r="IM22" s="3"/>
      <c r="IN22" s="3"/>
      <c r="IO22" s="3"/>
      <c r="IP22" s="3"/>
      <c r="IQ22" s="3"/>
      <c r="IR22" s="3"/>
      <c r="IS22" s="3"/>
      <c r="IT22" s="3"/>
    </row>
    <row r="23" spans="1:254" ht="14.5" customHeight="1" x14ac:dyDescent="0.2">
      <c r="A23" s="5" t="s">
        <v>13</v>
      </c>
      <c r="B23" s="30">
        <v>2016</v>
      </c>
      <c r="C23" s="30">
        <f>(5.4+1+0.02)*1000</f>
        <v>6420</v>
      </c>
      <c r="D23" s="30">
        <f>(0.47+0.24+0.27)*1000000</f>
        <v>980000</v>
      </c>
      <c r="E23" s="30">
        <f>0.65*1000000</f>
        <v>650000</v>
      </c>
      <c r="F23" s="30">
        <v>2439000</v>
      </c>
      <c r="G23" s="30">
        <v>2740000</v>
      </c>
      <c r="H23" s="63"/>
      <c r="I23" s="16"/>
      <c r="J23" s="18"/>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3"/>
      <c r="CQ23" s="3"/>
      <c r="CR23" s="3"/>
      <c r="CS23" s="3"/>
      <c r="CT23" s="3"/>
      <c r="CU23" s="3"/>
      <c r="CV23" s="3"/>
      <c r="CW23" s="3"/>
      <c r="CX23" s="3"/>
      <c r="CY23" s="3"/>
      <c r="CZ23" s="3"/>
      <c r="DA23" s="3"/>
      <c r="DB23" s="3"/>
      <c r="DC23" s="3"/>
      <c r="DD23" s="3"/>
      <c r="DE23" s="3"/>
      <c r="DF23" s="3"/>
      <c r="DG23" s="3"/>
      <c r="DH23" s="3"/>
      <c r="DI23" s="3"/>
      <c r="DJ23" s="3"/>
      <c r="DK23" s="3"/>
      <c r="DL23" s="3"/>
      <c r="DM23" s="3"/>
      <c r="DN23" s="3"/>
      <c r="DO23" s="3"/>
      <c r="DP23" s="3"/>
      <c r="DQ23" s="3"/>
      <c r="DR23" s="3"/>
      <c r="DS23" s="3"/>
      <c r="DT23" s="3"/>
      <c r="DU23" s="3"/>
      <c r="DV23" s="3"/>
      <c r="DW23" s="3"/>
      <c r="DX23" s="3"/>
      <c r="DY23" s="3"/>
      <c r="DZ23" s="3"/>
      <c r="EA23" s="3"/>
      <c r="EB23" s="3"/>
      <c r="EC23" s="3"/>
      <c r="ED23" s="3"/>
      <c r="EE23" s="3"/>
      <c r="EF23" s="3"/>
      <c r="EG23" s="3"/>
      <c r="EH23" s="3"/>
      <c r="EI23" s="3"/>
      <c r="EJ23" s="3"/>
      <c r="EK23" s="3"/>
      <c r="EL23" s="3"/>
      <c r="EM23" s="3"/>
      <c r="EN23" s="3"/>
      <c r="EO23" s="3"/>
      <c r="EP23" s="3"/>
      <c r="EQ23" s="3"/>
      <c r="ER23" s="3"/>
      <c r="ES23" s="3"/>
      <c r="ET23" s="3"/>
      <c r="EU23" s="3"/>
      <c r="EV23" s="3"/>
      <c r="EW23" s="3"/>
      <c r="EX23" s="3"/>
      <c r="EY23" s="3"/>
      <c r="EZ23" s="3"/>
      <c r="FA23" s="3"/>
      <c r="FB23" s="3"/>
      <c r="FC23" s="3"/>
      <c r="FD23" s="3"/>
      <c r="FE23" s="3"/>
      <c r="FF23" s="3"/>
      <c r="FG23" s="3"/>
      <c r="FH23" s="3"/>
      <c r="FI23" s="3"/>
      <c r="FJ23" s="3"/>
      <c r="FK23" s="3"/>
      <c r="FL23" s="3"/>
      <c r="FM23" s="3"/>
      <c r="FN23" s="3"/>
      <c r="FO23" s="3"/>
      <c r="FP23" s="3"/>
      <c r="FQ23" s="3"/>
      <c r="FR23" s="3"/>
      <c r="FS23" s="3"/>
      <c r="FT23" s="3"/>
      <c r="FU23" s="3"/>
      <c r="FV23" s="3"/>
      <c r="FW23" s="3"/>
      <c r="FX23" s="3"/>
      <c r="FY23" s="3"/>
      <c r="FZ23" s="3"/>
      <c r="GA23" s="3"/>
      <c r="GB23" s="3"/>
      <c r="GC23" s="3"/>
      <c r="GD23" s="3"/>
      <c r="GE23" s="3"/>
      <c r="GF23" s="3"/>
      <c r="GG23" s="3"/>
      <c r="GH23" s="3"/>
      <c r="GI23" s="3"/>
      <c r="GJ23" s="3"/>
      <c r="GK23" s="3"/>
      <c r="GL23" s="3"/>
      <c r="GM23" s="3"/>
      <c r="GN23" s="3"/>
      <c r="GO23" s="3"/>
      <c r="GP23" s="3"/>
      <c r="GQ23" s="3"/>
      <c r="GR23" s="3"/>
      <c r="GS23" s="3"/>
      <c r="GT23" s="3"/>
      <c r="GU23" s="3"/>
      <c r="GV23" s="3"/>
      <c r="GW23" s="3"/>
      <c r="GX23" s="3"/>
      <c r="GY23" s="3"/>
      <c r="GZ23" s="3"/>
      <c r="HA23" s="3"/>
      <c r="HB23" s="3"/>
      <c r="HC23" s="3"/>
      <c r="HD23" s="3"/>
      <c r="HE23" s="3"/>
      <c r="HF23" s="3"/>
      <c r="HG23" s="3"/>
      <c r="HH23" s="3"/>
      <c r="HI23" s="3"/>
      <c r="HJ23" s="3"/>
      <c r="HK23" s="3"/>
      <c r="HL23" s="3"/>
      <c r="HM23" s="3"/>
      <c r="HN23" s="3"/>
      <c r="HO23" s="3"/>
      <c r="HP23" s="3"/>
      <c r="HQ23" s="3"/>
      <c r="HR23" s="3"/>
      <c r="HS23" s="3"/>
      <c r="HT23" s="3"/>
      <c r="HU23" s="3"/>
      <c r="HV23" s="3"/>
      <c r="HW23" s="3"/>
      <c r="HX23" s="3"/>
      <c r="HY23" s="3"/>
      <c r="HZ23" s="3"/>
      <c r="IA23" s="3"/>
      <c r="IB23" s="3"/>
      <c r="IC23" s="3"/>
      <c r="ID23" s="3"/>
      <c r="IE23" s="3"/>
      <c r="IF23" s="3"/>
      <c r="IG23" s="3"/>
      <c r="IH23" s="3"/>
      <c r="II23" s="3"/>
      <c r="IJ23" s="3"/>
      <c r="IK23" s="3"/>
      <c r="IL23" s="3"/>
      <c r="IM23" s="3"/>
      <c r="IN23" s="3"/>
      <c r="IO23" s="3"/>
      <c r="IP23" s="3"/>
      <c r="IQ23" s="3"/>
      <c r="IR23" s="3"/>
      <c r="IS23" s="3"/>
      <c r="IT23" s="3"/>
    </row>
    <row r="24" spans="1:254" ht="14.5" customHeight="1" x14ac:dyDescent="0.2">
      <c r="A24" s="5" t="s">
        <v>13</v>
      </c>
      <c r="B24" s="30">
        <v>2017</v>
      </c>
      <c r="C24" s="30">
        <f>(5.9+1.4+0.01)*1000</f>
        <v>7310.0000000000009</v>
      </c>
      <c r="D24" s="30">
        <f>(0.52+0.26+0.72)*1000000</f>
        <v>1500000</v>
      </c>
      <c r="E24" s="30">
        <f>0.97*1000000</f>
        <v>970000</v>
      </c>
      <c r="F24" s="30">
        <v>2615000</v>
      </c>
      <c r="G24" s="30">
        <v>12320000</v>
      </c>
      <c r="H24" s="63"/>
      <c r="I24" s="16"/>
      <c r="J24" s="18"/>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c r="CO24" s="3"/>
      <c r="CP24" s="3"/>
      <c r="CQ24" s="3"/>
      <c r="CR24" s="3"/>
      <c r="CS24" s="3"/>
      <c r="CT24" s="3"/>
      <c r="CU24" s="3"/>
      <c r="CV24" s="3"/>
      <c r="CW24" s="3"/>
      <c r="CX24" s="3"/>
      <c r="CY24" s="3"/>
      <c r="CZ24" s="3"/>
      <c r="DA24" s="3"/>
      <c r="DB24" s="3"/>
      <c r="DC24" s="3"/>
      <c r="DD24" s="3"/>
      <c r="DE24" s="3"/>
      <c r="DF24" s="3"/>
      <c r="DG24" s="3"/>
      <c r="DH24" s="3"/>
      <c r="DI24" s="3"/>
      <c r="DJ24" s="3"/>
      <c r="DK24" s="3"/>
      <c r="DL24" s="3"/>
      <c r="DM24" s="3"/>
      <c r="DN24" s="3"/>
      <c r="DO24" s="3"/>
      <c r="DP24" s="3"/>
      <c r="DQ24" s="3"/>
      <c r="DR24" s="3"/>
      <c r="DS24" s="3"/>
      <c r="DT24" s="3"/>
      <c r="DU24" s="3"/>
      <c r="DV24" s="3"/>
      <c r="DW24" s="3"/>
      <c r="DX24" s="3"/>
      <c r="DY24" s="3"/>
      <c r="DZ24" s="3"/>
      <c r="EA24" s="3"/>
      <c r="EB24" s="3"/>
      <c r="EC24" s="3"/>
      <c r="ED24" s="3"/>
      <c r="EE24" s="3"/>
      <c r="EF24" s="3"/>
      <c r="EG24" s="3"/>
      <c r="EH24" s="3"/>
      <c r="EI24" s="3"/>
      <c r="EJ24" s="3"/>
      <c r="EK24" s="3"/>
      <c r="EL24" s="3"/>
      <c r="EM24" s="3"/>
      <c r="EN24" s="3"/>
      <c r="EO24" s="3"/>
      <c r="EP24" s="3"/>
      <c r="EQ24" s="3"/>
      <c r="ER24" s="3"/>
      <c r="ES24" s="3"/>
      <c r="ET24" s="3"/>
      <c r="EU24" s="3"/>
      <c r="EV24" s="3"/>
      <c r="EW24" s="3"/>
      <c r="EX24" s="3"/>
      <c r="EY24" s="3"/>
      <c r="EZ24" s="3"/>
      <c r="FA24" s="3"/>
      <c r="FB24" s="3"/>
      <c r="FC24" s="3"/>
      <c r="FD24" s="3"/>
      <c r="FE24" s="3"/>
      <c r="FF24" s="3"/>
      <c r="FG24" s="3"/>
      <c r="FH24" s="3"/>
      <c r="FI24" s="3"/>
      <c r="FJ24" s="3"/>
      <c r="FK24" s="3"/>
      <c r="FL24" s="3"/>
      <c r="FM24" s="3"/>
      <c r="FN24" s="3"/>
      <c r="FO24" s="3"/>
      <c r="FP24" s="3"/>
      <c r="FQ24" s="3"/>
      <c r="FR24" s="3"/>
      <c r="FS24" s="3"/>
      <c r="FT24" s="3"/>
      <c r="FU24" s="3"/>
      <c r="FV24" s="3"/>
      <c r="FW24" s="3"/>
      <c r="FX24" s="3"/>
      <c r="FY24" s="3"/>
      <c r="FZ24" s="3"/>
      <c r="GA24" s="3"/>
      <c r="GB24" s="3"/>
      <c r="GC24" s="3"/>
      <c r="GD24" s="3"/>
      <c r="GE24" s="3"/>
      <c r="GF24" s="3"/>
      <c r="GG24" s="3"/>
      <c r="GH24" s="3"/>
      <c r="GI24" s="3"/>
      <c r="GJ24" s="3"/>
      <c r="GK24" s="3"/>
      <c r="GL24" s="3"/>
      <c r="GM24" s="3"/>
      <c r="GN24" s="3"/>
      <c r="GO24" s="3"/>
      <c r="GP24" s="3"/>
      <c r="GQ24" s="3"/>
      <c r="GR24" s="3"/>
      <c r="GS24" s="3"/>
      <c r="GT24" s="3"/>
      <c r="GU24" s="3"/>
      <c r="GV24" s="3"/>
      <c r="GW24" s="3"/>
      <c r="GX24" s="3"/>
      <c r="GY24" s="3"/>
      <c r="GZ24" s="3"/>
      <c r="HA24" s="3"/>
      <c r="HB24" s="3"/>
      <c r="HC24" s="3"/>
      <c r="HD24" s="3"/>
      <c r="HE24" s="3"/>
      <c r="HF24" s="3"/>
      <c r="HG24" s="3"/>
      <c r="HH24" s="3"/>
      <c r="HI24" s="3"/>
      <c r="HJ24" s="3"/>
      <c r="HK24" s="3"/>
      <c r="HL24" s="3"/>
      <c r="HM24" s="3"/>
      <c r="HN24" s="3"/>
      <c r="HO24" s="3"/>
      <c r="HP24" s="3"/>
      <c r="HQ24" s="3"/>
      <c r="HR24" s="3"/>
      <c r="HS24" s="3"/>
      <c r="HT24" s="3"/>
      <c r="HU24" s="3"/>
      <c r="HV24" s="3"/>
      <c r="HW24" s="3"/>
      <c r="HX24" s="3"/>
      <c r="HY24" s="3"/>
      <c r="HZ24" s="3"/>
      <c r="IA24" s="3"/>
      <c r="IB24" s="3"/>
      <c r="IC24" s="3"/>
      <c r="ID24" s="3"/>
      <c r="IE24" s="3"/>
      <c r="IF24" s="3"/>
      <c r="IG24" s="3"/>
      <c r="IH24" s="3"/>
      <c r="II24" s="3"/>
      <c r="IJ24" s="3"/>
      <c r="IK24" s="3"/>
      <c r="IL24" s="3"/>
      <c r="IM24" s="3"/>
      <c r="IN24" s="3"/>
      <c r="IO24" s="3"/>
      <c r="IP24" s="3"/>
      <c r="IQ24" s="3"/>
      <c r="IR24" s="3"/>
      <c r="IS24" s="3"/>
      <c r="IT24" s="3"/>
    </row>
    <row r="25" spans="1:254" ht="14.5" customHeight="1" x14ac:dyDescent="0.2">
      <c r="A25" s="5" t="s">
        <v>13</v>
      </c>
      <c r="B25" s="30">
        <v>2018</v>
      </c>
      <c r="C25" s="30">
        <f>(6.7+1.6+0.02)*1000</f>
        <v>8320</v>
      </c>
      <c r="D25" s="30">
        <f>(0.41+0.26+0.27)*1000000</f>
        <v>940000</v>
      </c>
      <c r="E25" s="30">
        <f>0.66*1000000</f>
        <v>660000</v>
      </c>
      <c r="F25" s="30">
        <v>2919000</v>
      </c>
      <c r="G25" s="30">
        <v>20979000</v>
      </c>
      <c r="H25" s="63"/>
      <c r="I25" s="16"/>
      <c r="J25" s="18"/>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c r="CO25" s="3"/>
      <c r="CP25" s="3"/>
      <c r="CQ25" s="3"/>
      <c r="CR25" s="3"/>
      <c r="CS25" s="3"/>
      <c r="CT25" s="3"/>
      <c r="CU25" s="3"/>
      <c r="CV25" s="3"/>
      <c r="CW25" s="3"/>
      <c r="CX25" s="3"/>
      <c r="CY25" s="3"/>
      <c r="CZ25" s="3"/>
      <c r="DA25" s="3"/>
      <c r="DB25" s="3"/>
      <c r="DC25" s="3"/>
      <c r="DD25" s="3"/>
      <c r="DE25" s="3"/>
      <c r="DF25" s="3"/>
      <c r="DG25" s="3"/>
      <c r="DH25" s="3"/>
      <c r="DI25" s="3"/>
      <c r="DJ25" s="3"/>
      <c r="DK25" s="3"/>
      <c r="DL25" s="3"/>
      <c r="DM25" s="3"/>
      <c r="DN25" s="3"/>
      <c r="DO25" s="3"/>
      <c r="DP25" s="3"/>
      <c r="DQ25" s="3"/>
      <c r="DR25" s="3"/>
      <c r="DS25" s="3"/>
      <c r="DT25" s="3"/>
      <c r="DU25" s="3"/>
      <c r="DV25" s="3"/>
      <c r="DW25" s="3"/>
      <c r="DX25" s="3"/>
      <c r="DY25" s="3"/>
      <c r="DZ25" s="3"/>
      <c r="EA25" s="3"/>
      <c r="EB25" s="3"/>
      <c r="EC25" s="3"/>
      <c r="ED25" s="3"/>
      <c r="EE25" s="3"/>
      <c r="EF25" s="3"/>
      <c r="EG25" s="3"/>
      <c r="EH25" s="3"/>
      <c r="EI25" s="3"/>
      <c r="EJ25" s="3"/>
      <c r="EK25" s="3"/>
      <c r="EL25" s="3"/>
      <c r="EM25" s="3"/>
      <c r="EN25" s="3"/>
      <c r="EO25" s="3"/>
      <c r="EP25" s="3"/>
      <c r="EQ25" s="3"/>
      <c r="ER25" s="3"/>
      <c r="ES25" s="3"/>
      <c r="ET25" s="3"/>
      <c r="EU25" s="3"/>
      <c r="EV25" s="3"/>
      <c r="EW25" s="3"/>
      <c r="EX25" s="3"/>
      <c r="EY25" s="3"/>
      <c r="EZ25" s="3"/>
      <c r="FA25" s="3"/>
      <c r="FB25" s="3"/>
      <c r="FC25" s="3"/>
      <c r="FD25" s="3"/>
      <c r="FE25" s="3"/>
      <c r="FF25" s="3"/>
      <c r="FG25" s="3"/>
      <c r="FH25" s="3"/>
      <c r="FI25" s="3"/>
      <c r="FJ25" s="3"/>
      <c r="FK25" s="3"/>
      <c r="FL25" s="3"/>
      <c r="FM25" s="3"/>
      <c r="FN25" s="3"/>
      <c r="FO25" s="3"/>
      <c r="FP25" s="3"/>
      <c r="FQ25" s="3"/>
      <c r="FR25" s="3"/>
      <c r="FS25" s="3"/>
      <c r="FT25" s="3"/>
      <c r="FU25" s="3"/>
      <c r="FV25" s="3"/>
      <c r="FW25" s="3"/>
      <c r="FX25" s="3"/>
      <c r="FY25" s="3"/>
      <c r="FZ25" s="3"/>
      <c r="GA25" s="3"/>
      <c r="GB25" s="3"/>
      <c r="GC25" s="3"/>
      <c r="GD25" s="3"/>
      <c r="GE25" s="3"/>
      <c r="GF25" s="3"/>
      <c r="GG25" s="3"/>
      <c r="GH25" s="3"/>
      <c r="GI25" s="3"/>
      <c r="GJ25" s="3"/>
      <c r="GK25" s="3"/>
      <c r="GL25" s="3"/>
      <c r="GM25" s="3"/>
      <c r="GN25" s="3"/>
      <c r="GO25" s="3"/>
      <c r="GP25" s="3"/>
      <c r="GQ25" s="3"/>
      <c r="GR25" s="3"/>
      <c r="GS25" s="3"/>
      <c r="GT25" s="3"/>
      <c r="GU25" s="3"/>
      <c r="GV25" s="3"/>
      <c r="GW25" s="3"/>
      <c r="GX25" s="3"/>
      <c r="GY25" s="3"/>
      <c r="GZ25" s="3"/>
      <c r="HA25" s="3"/>
      <c r="HB25" s="3"/>
      <c r="HC25" s="3"/>
      <c r="HD25" s="3"/>
      <c r="HE25" s="3"/>
      <c r="HF25" s="3"/>
      <c r="HG25" s="3"/>
      <c r="HH25" s="3"/>
      <c r="HI25" s="3"/>
      <c r="HJ25" s="3"/>
      <c r="HK25" s="3"/>
      <c r="HL25" s="3"/>
      <c r="HM25" s="3"/>
      <c r="HN25" s="3"/>
      <c r="HO25" s="3"/>
      <c r="HP25" s="3"/>
      <c r="HQ25" s="3"/>
      <c r="HR25" s="3"/>
      <c r="HS25" s="3"/>
      <c r="HT25" s="3"/>
      <c r="HU25" s="3"/>
      <c r="HV25" s="3"/>
      <c r="HW25" s="3"/>
      <c r="HX25" s="3"/>
      <c r="HY25" s="3"/>
      <c r="HZ25" s="3"/>
      <c r="IA25" s="3"/>
      <c r="IB25" s="3"/>
      <c r="IC25" s="3"/>
      <c r="ID25" s="3"/>
      <c r="IE25" s="3"/>
      <c r="IF25" s="3"/>
      <c r="IG25" s="3"/>
      <c r="IH25" s="3"/>
      <c r="II25" s="3"/>
      <c r="IJ25" s="3"/>
      <c r="IK25" s="3"/>
      <c r="IL25" s="3"/>
      <c r="IM25" s="3"/>
      <c r="IN25" s="3"/>
      <c r="IO25" s="3"/>
      <c r="IP25" s="3"/>
      <c r="IQ25" s="3"/>
      <c r="IR25" s="3"/>
      <c r="IS25" s="3"/>
      <c r="IT25" s="3"/>
    </row>
    <row r="26" spans="1:254" ht="14.5" customHeight="1" x14ac:dyDescent="0.2">
      <c r="A26" s="5" t="s">
        <v>13</v>
      </c>
      <c r="B26" s="30">
        <v>2019</v>
      </c>
      <c r="C26" s="30">
        <f>(7.8+1.8+0.01)*1000</f>
        <v>9610</v>
      </c>
      <c r="D26" s="30">
        <f>(0.3+0.29+0.31)*1000000</f>
        <v>899999.99999999988</v>
      </c>
      <c r="E26" s="30">
        <f>0.66*1000000</f>
        <v>660000</v>
      </c>
      <c r="F26" s="30">
        <v>3345500</v>
      </c>
      <c r="G26" s="30">
        <v>20342000</v>
      </c>
      <c r="H26" s="63"/>
      <c r="I26" s="16"/>
      <c r="J26" s="18"/>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c r="CO26" s="3"/>
      <c r="CP26" s="3"/>
      <c r="CQ26" s="3"/>
      <c r="CR26" s="3"/>
      <c r="CS26" s="3"/>
      <c r="CT26" s="3"/>
      <c r="CU26" s="3"/>
      <c r="CV26" s="3"/>
      <c r="CW26" s="3"/>
      <c r="CX26" s="3"/>
      <c r="CY26" s="3"/>
      <c r="CZ26" s="3"/>
      <c r="DA26" s="3"/>
      <c r="DB26" s="3"/>
      <c r="DC26" s="3"/>
      <c r="DD26" s="3"/>
      <c r="DE26" s="3"/>
      <c r="DF26" s="3"/>
      <c r="DG26" s="3"/>
      <c r="DH26" s="3"/>
      <c r="DI26" s="3"/>
      <c r="DJ26" s="3"/>
      <c r="DK26" s="3"/>
      <c r="DL26" s="3"/>
      <c r="DM26" s="3"/>
      <c r="DN26" s="3"/>
      <c r="DO26" s="3"/>
      <c r="DP26" s="3"/>
      <c r="DQ26" s="3"/>
      <c r="DR26" s="3"/>
      <c r="DS26" s="3"/>
      <c r="DT26" s="3"/>
      <c r="DU26" s="3"/>
      <c r="DV26" s="3"/>
      <c r="DW26" s="3"/>
      <c r="DX26" s="3"/>
      <c r="DY26" s="3"/>
      <c r="DZ26" s="3"/>
      <c r="EA26" s="3"/>
      <c r="EB26" s="3"/>
      <c r="EC26" s="3"/>
      <c r="ED26" s="3"/>
      <c r="EE26" s="3"/>
      <c r="EF26" s="3"/>
      <c r="EG26" s="3"/>
      <c r="EH26" s="3"/>
      <c r="EI26" s="3"/>
      <c r="EJ26" s="3"/>
      <c r="EK26" s="3"/>
      <c r="EL26" s="3"/>
      <c r="EM26" s="3"/>
      <c r="EN26" s="3"/>
      <c r="EO26" s="3"/>
      <c r="EP26" s="3"/>
      <c r="EQ26" s="3"/>
      <c r="ER26" s="3"/>
      <c r="ES26" s="3"/>
      <c r="ET26" s="3"/>
      <c r="EU26" s="3"/>
      <c r="EV26" s="3"/>
      <c r="EW26" s="3"/>
      <c r="EX26" s="3"/>
      <c r="EY26" s="3"/>
      <c r="EZ26" s="3"/>
      <c r="FA26" s="3"/>
      <c r="FB26" s="3"/>
      <c r="FC26" s="3"/>
      <c r="FD26" s="3"/>
      <c r="FE26" s="3"/>
      <c r="FF26" s="3"/>
      <c r="FG26" s="3"/>
      <c r="FH26" s="3"/>
      <c r="FI26" s="3"/>
      <c r="FJ26" s="3"/>
      <c r="FK26" s="3"/>
      <c r="FL26" s="3"/>
      <c r="FM26" s="3"/>
      <c r="FN26" s="3"/>
      <c r="FO26" s="3"/>
      <c r="FP26" s="3"/>
      <c r="FQ26" s="3"/>
      <c r="FR26" s="3"/>
      <c r="FS26" s="3"/>
      <c r="FT26" s="3"/>
      <c r="FU26" s="3"/>
      <c r="FV26" s="3"/>
      <c r="FW26" s="3"/>
      <c r="FX26" s="3"/>
      <c r="FY26" s="3"/>
      <c r="FZ26" s="3"/>
      <c r="GA26" s="3"/>
      <c r="GB26" s="3"/>
      <c r="GC26" s="3"/>
      <c r="GD26" s="3"/>
      <c r="GE26" s="3"/>
      <c r="GF26" s="3"/>
      <c r="GG26" s="3"/>
      <c r="GH26" s="3"/>
      <c r="GI26" s="3"/>
      <c r="GJ26" s="3"/>
      <c r="GK26" s="3"/>
      <c r="GL26" s="3"/>
      <c r="GM26" s="3"/>
      <c r="GN26" s="3"/>
      <c r="GO26" s="3"/>
      <c r="GP26" s="3"/>
      <c r="GQ26" s="3"/>
      <c r="GR26" s="3"/>
      <c r="GS26" s="3"/>
      <c r="GT26" s="3"/>
      <c r="GU26" s="3"/>
      <c r="GV26" s="3"/>
      <c r="GW26" s="3"/>
      <c r="GX26" s="3"/>
      <c r="GY26" s="3"/>
      <c r="GZ26" s="3"/>
      <c r="HA26" s="3"/>
      <c r="HB26" s="3"/>
      <c r="HC26" s="3"/>
      <c r="HD26" s="3"/>
      <c r="HE26" s="3"/>
      <c r="HF26" s="3"/>
      <c r="HG26" s="3"/>
      <c r="HH26" s="3"/>
      <c r="HI26" s="3"/>
      <c r="HJ26" s="3"/>
      <c r="HK26" s="3"/>
      <c r="HL26" s="3"/>
      <c r="HM26" s="3"/>
      <c r="HN26" s="3"/>
      <c r="HO26" s="3"/>
      <c r="HP26" s="3"/>
      <c r="HQ26" s="3"/>
      <c r="HR26" s="3"/>
      <c r="HS26" s="3"/>
      <c r="HT26" s="3"/>
      <c r="HU26" s="3"/>
      <c r="HV26" s="3"/>
      <c r="HW26" s="3"/>
      <c r="HX26" s="3"/>
      <c r="HY26" s="3"/>
      <c r="HZ26" s="3"/>
      <c r="IA26" s="3"/>
      <c r="IB26" s="3"/>
      <c r="IC26" s="3"/>
      <c r="ID26" s="3"/>
      <c r="IE26" s="3"/>
      <c r="IF26" s="3"/>
      <c r="IG26" s="3"/>
      <c r="IH26" s="3"/>
      <c r="II26" s="3"/>
      <c r="IJ26" s="3"/>
      <c r="IK26" s="3"/>
      <c r="IL26" s="3"/>
      <c r="IM26" s="3"/>
      <c r="IN26" s="3"/>
      <c r="IO26" s="3"/>
      <c r="IP26" s="3"/>
      <c r="IQ26" s="3"/>
      <c r="IR26" s="3"/>
      <c r="IS26" s="3"/>
      <c r="IT26" s="3"/>
    </row>
    <row r="27" spans="1:254" ht="14.5" customHeight="1" x14ac:dyDescent="0.2">
      <c r="A27" s="5" t="s">
        <v>13</v>
      </c>
      <c r="B27" s="30">
        <v>2020</v>
      </c>
      <c r="C27" s="30">
        <f>(8.8+1.8+0.01)*1000</f>
        <v>10610.000000000002</v>
      </c>
      <c r="D27" s="30">
        <f>(0.35+0.3+0.39)*1000000</f>
        <v>1040000</v>
      </c>
      <c r="E27" s="30">
        <f>0.28*1000000</f>
        <v>280000</v>
      </c>
      <c r="F27" s="30">
        <v>3700000</v>
      </c>
      <c r="G27" s="30">
        <v>29866000</v>
      </c>
      <c r="H27" s="63"/>
      <c r="I27" s="16"/>
      <c r="J27" s="18"/>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c r="CO27" s="3"/>
      <c r="CP27" s="3"/>
      <c r="CQ27" s="3"/>
      <c r="CR27" s="3"/>
      <c r="CS27" s="3"/>
      <c r="CT27" s="3"/>
      <c r="CU27" s="3"/>
      <c r="CV27" s="3"/>
      <c r="CW27" s="3"/>
      <c r="CX27" s="3"/>
      <c r="CY27" s="3"/>
      <c r="CZ27" s="3"/>
      <c r="DA27" s="3"/>
      <c r="DB27" s="3"/>
      <c r="DC27" s="3"/>
      <c r="DD27" s="3"/>
      <c r="DE27" s="3"/>
      <c r="DF27" s="3"/>
      <c r="DG27" s="3"/>
      <c r="DH27" s="3"/>
      <c r="DI27" s="3"/>
      <c r="DJ27" s="3"/>
      <c r="DK27" s="3"/>
      <c r="DL27" s="3"/>
      <c r="DM27" s="3"/>
      <c r="DN27" s="3"/>
      <c r="DO27" s="3"/>
      <c r="DP27" s="3"/>
      <c r="DQ27" s="3"/>
      <c r="DR27" s="3"/>
      <c r="DS27" s="3"/>
      <c r="DT27" s="3"/>
      <c r="DU27" s="3"/>
      <c r="DV27" s="3"/>
      <c r="DW27" s="3"/>
      <c r="DX27" s="3"/>
      <c r="DY27" s="3"/>
      <c r="DZ27" s="3"/>
      <c r="EA27" s="3"/>
      <c r="EB27" s="3"/>
      <c r="EC27" s="3"/>
      <c r="ED27" s="3"/>
      <c r="EE27" s="3"/>
      <c r="EF27" s="3"/>
      <c r="EG27" s="3"/>
      <c r="EH27" s="3"/>
      <c r="EI27" s="3"/>
      <c r="EJ27" s="3"/>
      <c r="EK27" s="3"/>
      <c r="EL27" s="3"/>
      <c r="EM27" s="3"/>
      <c r="EN27" s="3"/>
      <c r="EO27" s="3"/>
      <c r="EP27" s="3"/>
      <c r="EQ27" s="3"/>
      <c r="ER27" s="3"/>
      <c r="ES27" s="3"/>
      <c r="ET27" s="3"/>
      <c r="EU27" s="3"/>
      <c r="EV27" s="3"/>
      <c r="EW27" s="3"/>
      <c r="EX27" s="3"/>
      <c r="EY27" s="3"/>
      <c r="EZ27" s="3"/>
      <c r="FA27" s="3"/>
      <c r="FB27" s="3"/>
      <c r="FC27" s="3"/>
      <c r="FD27" s="3"/>
      <c r="FE27" s="3"/>
      <c r="FF27" s="3"/>
      <c r="FG27" s="3"/>
      <c r="FH27" s="3"/>
      <c r="FI27" s="3"/>
      <c r="FJ27" s="3"/>
      <c r="FK27" s="3"/>
      <c r="FL27" s="3"/>
      <c r="FM27" s="3"/>
      <c r="FN27" s="3"/>
      <c r="FO27" s="3"/>
      <c r="FP27" s="3"/>
      <c r="FQ27" s="3"/>
      <c r="FR27" s="3"/>
      <c r="FS27" s="3"/>
      <c r="FT27" s="3"/>
      <c r="FU27" s="3"/>
      <c r="FV27" s="3"/>
      <c r="FW27" s="3"/>
      <c r="FX27" s="3"/>
      <c r="FY27" s="3"/>
      <c r="FZ27" s="3"/>
      <c r="GA27" s="3"/>
      <c r="GB27" s="3"/>
      <c r="GC27" s="3"/>
      <c r="GD27" s="3"/>
      <c r="GE27" s="3"/>
      <c r="GF27" s="3"/>
      <c r="GG27" s="3"/>
      <c r="GH27" s="3"/>
      <c r="GI27" s="3"/>
      <c r="GJ27" s="3"/>
      <c r="GK27" s="3"/>
      <c r="GL27" s="3"/>
      <c r="GM27" s="3"/>
      <c r="GN27" s="3"/>
      <c r="GO27" s="3"/>
      <c r="GP27" s="3"/>
      <c r="GQ27" s="3"/>
      <c r="GR27" s="3"/>
      <c r="GS27" s="3"/>
      <c r="GT27" s="3"/>
      <c r="GU27" s="3"/>
      <c r="GV27" s="3"/>
      <c r="GW27" s="3"/>
      <c r="GX27" s="3"/>
      <c r="GY27" s="3"/>
      <c r="GZ27" s="3"/>
      <c r="HA27" s="3"/>
      <c r="HB27" s="3"/>
      <c r="HC27" s="3"/>
      <c r="HD27" s="3"/>
      <c r="HE27" s="3"/>
      <c r="HF27" s="3"/>
      <c r="HG27" s="3"/>
      <c r="HH27" s="3"/>
      <c r="HI27" s="3"/>
      <c r="HJ27" s="3"/>
      <c r="HK27" s="3"/>
      <c r="HL27" s="3"/>
      <c r="HM27" s="3"/>
      <c r="HN27" s="3"/>
      <c r="HO27" s="3"/>
      <c r="HP27" s="3"/>
      <c r="HQ27" s="3"/>
      <c r="HR27" s="3"/>
      <c r="HS27" s="3"/>
      <c r="HT27" s="3"/>
      <c r="HU27" s="3"/>
      <c r="HV27" s="3"/>
      <c r="HW27" s="3"/>
      <c r="HX27" s="3"/>
      <c r="HY27" s="3"/>
      <c r="HZ27" s="3"/>
      <c r="IA27" s="3"/>
      <c r="IB27" s="3"/>
      <c r="IC27" s="3"/>
      <c r="ID27" s="3"/>
      <c r="IE27" s="3"/>
      <c r="IF27" s="3"/>
      <c r="IG27" s="3"/>
      <c r="IH27" s="3"/>
      <c r="II27" s="3"/>
      <c r="IJ27" s="3"/>
      <c r="IK27" s="3"/>
      <c r="IL27" s="3"/>
      <c r="IM27" s="3"/>
      <c r="IN27" s="3"/>
      <c r="IO27" s="3"/>
      <c r="IP27" s="3"/>
      <c r="IQ27" s="3"/>
      <c r="IR27" s="3"/>
      <c r="IS27" s="3"/>
      <c r="IT27" s="3"/>
    </row>
    <row r="28" spans="1:254" ht="14.5" customHeight="1" x14ac:dyDescent="0.2">
      <c r="A28" s="5" t="s">
        <v>13</v>
      </c>
      <c r="B28" s="30">
        <v>2021</v>
      </c>
      <c r="C28" s="30">
        <f>(9.6+2+0.01)*1000</f>
        <v>11610</v>
      </c>
      <c r="D28" s="30">
        <f>(0.43+0.32+0.4)*1000000</f>
        <v>1150000</v>
      </c>
      <c r="E28" s="30">
        <f>0.35*1000000</f>
        <v>350000</v>
      </c>
      <c r="F28" s="30">
        <v>3820000</v>
      </c>
      <c r="G28" s="30">
        <v>28863000</v>
      </c>
      <c r="H28" s="63"/>
      <c r="I28" s="16"/>
      <c r="J28" s="18"/>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c r="CO28" s="3"/>
      <c r="CP28" s="3"/>
      <c r="CQ28" s="3"/>
      <c r="CR28" s="3"/>
      <c r="CS28" s="3"/>
      <c r="CT28" s="3"/>
      <c r="CU28" s="3"/>
      <c r="CV28" s="3"/>
      <c r="CW28" s="3"/>
      <c r="CX28" s="3"/>
      <c r="CY28" s="3"/>
      <c r="CZ28" s="3"/>
      <c r="DA28" s="3"/>
      <c r="DB28" s="3"/>
      <c r="DC28" s="3"/>
      <c r="DD28" s="3"/>
      <c r="DE28" s="3"/>
      <c r="DF28" s="3"/>
      <c r="DG28" s="3"/>
      <c r="DH28" s="3"/>
      <c r="DI28" s="3"/>
      <c r="DJ28" s="3"/>
      <c r="DK28" s="3"/>
      <c r="DL28" s="3"/>
      <c r="DM28" s="3"/>
      <c r="DN28" s="3"/>
      <c r="DO28" s="3"/>
      <c r="DP28" s="3"/>
      <c r="DQ28" s="3"/>
      <c r="DR28" s="3"/>
      <c r="DS28" s="3"/>
      <c r="DT28" s="3"/>
      <c r="DU28" s="3"/>
      <c r="DV28" s="3"/>
      <c r="DW28" s="3"/>
      <c r="DX28" s="3"/>
      <c r="DY28" s="3"/>
      <c r="DZ28" s="3"/>
      <c r="EA28" s="3"/>
      <c r="EB28" s="3"/>
      <c r="EC28" s="3"/>
      <c r="ED28" s="3"/>
      <c r="EE28" s="3"/>
      <c r="EF28" s="3"/>
      <c r="EG28" s="3"/>
      <c r="EH28" s="3"/>
      <c r="EI28" s="3"/>
      <c r="EJ28" s="3"/>
      <c r="EK28" s="3"/>
      <c r="EL28" s="3"/>
      <c r="EM28" s="3"/>
      <c r="EN28" s="3"/>
      <c r="EO28" s="3"/>
      <c r="EP28" s="3"/>
      <c r="EQ28" s="3"/>
      <c r="ER28" s="3"/>
      <c r="ES28" s="3"/>
      <c r="ET28" s="3"/>
      <c r="EU28" s="3"/>
      <c r="EV28" s="3"/>
      <c r="EW28" s="3"/>
      <c r="EX28" s="3"/>
      <c r="EY28" s="3"/>
      <c r="EZ28" s="3"/>
      <c r="FA28" s="3"/>
      <c r="FB28" s="3"/>
      <c r="FC28" s="3"/>
      <c r="FD28" s="3"/>
      <c r="FE28" s="3"/>
      <c r="FF28" s="3"/>
      <c r="FG28" s="3"/>
      <c r="FH28" s="3"/>
      <c r="FI28" s="3"/>
      <c r="FJ28" s="3"/>
      <c r="FK28" s="3"/>
      <c r="FL28" s="3"/>
      <c r="FM28" s="3"/>
      <c r="FN28" s="3"/>
      <c r="FO28" s="3"/>
      <c r="FP28" s="3"/>
      <c r="FQ28" s="3"/>
      <c r="FR28" s="3"/>
      <c r="FS28" s="3"/>
      <c r="FT28" s="3"/>
      <c r="FU28" s="3"/>
      <c r="FV28" s="3"/>
      <c r="FW28" s="3"/>
      <c r="FX28" s="3"/>
      <c r="FY28" s="3"/>
      <c r="FZ28" s="3"/>
      <c r="GA28" s="3"/>
      <c r="GB28" s="3"/>
      <c r="GC28" s="3"/>
      <c r="GD28" s="3"/>
      <c r="GE28" s="3"/>
      <c r="GF28" s="3"/>
      <c r="GG28" s="3"/>
      <c r="GH28" s="3"/>
      <c r="GI28" s="3"/>
      <c r="GJ28" s="3"/>
      <c r="GK28" s="3"/>
      <c r="GL28" s="3"/>
      <c r="GM28" s="3"/>
      <c r="GN28" s="3"/>
      <c r="GO28" s="3"/>
      <c r="GP28" s="3"/>
      <c r="GQ28" s="3"/>
      <c r="GR28" s="3"/>
      <c r="GS28" s="3"/>
      <c r="GT28" s="3"/>
      <c r="GU28" s="3"/>
      <c r="GV28" s="3"/>
      <c r="GW28" s="3"/>
      <c r="GX28" s="3"/>
      <c r="GY28" s="3"/>
      <c r="GZ28" s="3"/>
      <c r="HA28" s="3"/>
      <c r="HB28" s="3"/>
      <c r="HC28" s="3"/>
      <c r="HD28" s="3"/>
      <c r="HE28" s="3"/>
      <c r="HF28" s="3"/>
      <c r="HG28" s="3"/>
      <c r="HH28" s="3"/>
      <c r="HI28" s="3"/>
      <c r="HJ28" s="3"/>
      <c r="HK28" s="3"/>
      <c r="HL28" s="3"/>
      <c r="HM28" s="3"/>
      <c r="HN28" s="3"/>
      <c r="HO28" s="3"/>
      <c r="HP28" s="3"/>
      <c r="HQ28" s="3"/>
      <c r="HR28" s="3"/>
      <c r="HS28" s="3"/>
      <c r="HT28" s="3"/>
      <c r="HU28" s="3"/>
      <c r="HV28" s="3"/>
      <c r="HW28" s="3"/>
      <c r="HX28" s="3"/>
      <c r="HY28" s="3"/>
      <c r="HZ28" s="3"/>
      <c r="IA28" s="3"/>
      <c r="IB28" s="3"/>
      <c r="IC28" s="3"/>
      <c r="ID28" s="3"/>
      <c r="IE28" s="3"/>
      <c r="IF28" s="3"/>
      <c r="IG28" s="3"/>
      <c r="IH28" s="3"/>
      <c r="II28" s="3"/>
      <c r="IJ28" s="3"/>
      <c r="IK28" s="3"/>
      <c r="IL28" s="3"/>
      <c r="IM28" s="3"/>
      <c r="IN28" s="3"/>
      <c r="IO28" s="3"/>
      <c r="IP28" s="3"/>
      <c r="IQ28" s="3"/>
      <c r="IR28" s="3"/>
      <c r="IS28" s="3"/>
      <c r="IT28" s="3"/>
    </row>
    <row r="29" spans="1:254" ht="15" customHeight="1" x14ac:dyDescent="0.2">
      <c r="A29" s="5" t="s">
        <v>13</v>
      </c>
      <c r="B29" s="30">
        <v>2022</v>
      </c>
      <c r="C29" s="30">
        <f>(9+1.9+0.01)*1000</f>
        <v>10910</v>
      </c>
      <c r="D29" s="30">
        <f>(0.49+0.35+0.34)*1000000</f>
        <v>1180000</v>
      </c>
      <c r="E29" s="30">
        <f>0.35*1000000</f>
        <v>350000</v>
      </c>
      <c r="F29" s="30">
        <v>3303000</v>
      </c>
      <c r="G29" s="30">
        <v>22791000</v>
      </c>
      <c r="H29" s="63"/>
      <c r="I29" s="16"/>
      <c r="J29" s="18"/>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c r="CO29" s="3"/>
      <c r="CP29" s="3"/>
      <c r="CQ29" s="3"/>
      <c r="CR29" s="3"/>
      <c r="CS29" s="3"/>
      <c r="CT29" s="3"/>
      <c r="CU29" s="3"/>
      <c r="CV29" s="3"/>
      <c r="CW29" s="3"/>
      <c r="CX29" s="3"/>
      <c r="CY29" s="3"/>
      <c r="CZ29" s="3"/>
      <c r="DA29" s="3"/>
      <c r="DB29" s="3"/>
      <c r="DC29" s="3"/>
      <c r="DD29" s="3"/>
      <c r="DE29" s="3"/>
      <c r="DF29" s="3"/>
      <c r="DG29" s="3"/>
      <c r="DH29" s="3"/>
      <c r="DI29" s="3"/>
      <c r="DJ29" s="3"/>
      <c r="DK29" s="3"/>
      <c r="DL29" s="3"/>
      <c r="DM29" s="3"/>
      <c r="DN29" s="3"/>
      <c r="DO29" s="3"/>
      <c r="DP29" s="3"/>
      <c r="DQ29" s="3"/>
      <c r="DR29" s="3"/>
      <c r="DS29" s="3"/>
      <c r="DT29" s="3"/>
      <c r="DU29" s="3"/>
      <c r="DV29" s="3"/>
      <c r="DW29" s="3"/>
      <c r="DX29" s="3"/>
      <c r="DY29" s="3"/>
      <c r="DZ29" s="3"/>
      <c r="EA29" s="3"/>
      <c r="EB29" s="3"/>
      <c r="EC29" s="3"/>
      <c r="ED29" s="3"/>
      <c r="EE29" s="3"/>
      <c r="EF29" s="3"/>
      <c r="EG29" s="3"/>
      <c r="EH29" s="3"/>
      <c r="EI29" s="3"/>
      <c r="EJ29" s="3"/>
      <c r="EK29" s="3"/>
      <c r="EL29" s="3"/>
      <c r="EM29" s="3"/>
      <c r="EN29" s="3"/>
      <c r="EO29" s="3"/>
      <c r="EP29" s="3"/>
      <c r="EQ29" s="3"/>
      <c r="ER29" s="3"/>
      <c r="ES29" s="3"/>
      <c r="ET29" s="3"/>
      <c r="EU29" s="3"/>
      <c r="EV29" s="3"/>
      <c r="EW29" s="3"/>
      <c r="EX29" s="3"/>
      <c r="EY29" s="3"/>
      <c r="EZ29" s="3"/>
      <c r="FA29" s="3"/>
      <c r="FB29" s="3"/>
      <c r="FC29" s="3"/>
      <c r="FD29" s="3"/>
      <c r="FE29" s="3"/>
      <c r="FF29" s="3"/>
      <c r="FG29" s="3"/>
      <c r="FH29" s="3"/>
      <c r="FI29" s="3"/>
      <c r="FJ29" s="3"/>
      <c r="FK29" s="3"/>
      <c r="FL29" s="3"/>
      <c r="FM29" s="3"/>
      <c r="FN29" s="3"/>
      <c r="FO29" s="3"/>
      <c r="FP29" s="3"/>
      <c r="FQ29" s="3"/>
      <c r="FR29" s="3"/>
      <c r="FS29" s="3"/>
      <c r="FT29" s="3"/>
      <c r="FU29" s="3"/>
      <c r="FV29" s="3"/>
      <c r="FW29" s="3"/>
      <c r="FX29" s="3"/>
      <c r="FY29" s="3"/>
      <c r="FZ29" s="3"/>
      <c r="GA29" s="3"/>
      <c r="GB29" s="3"/>
      <c r="GC29" s="3"/>
      <c r="GD29" s="3"/>
      <c r="GE29" s="3"/>
      <c r="GF29" s="3"/>
      <c r="GG29" s="3"/>
      <c r="GH29" s="3"/>
      <c r="GI29" s="3"/>
      <c r="GJ29" s="3"/>
      <c r="GK29" s="3"/>
      <c r="GL29" s="3"/>
      <c r="GM29" s="3"/>
      <c r="GN29" s="3"/>
      <c r="GO29" s="3"/>
      <c r="GP29" s="3"/>
      <c r="GQ29" s="3"/>
      <c r="GR29" s="3"/>
      <c r="GS29" s="3"/>
      <c r="GT29" s="3"/>
      <c r="GU29" s="3"/>
      <c r="GV29" s="3"/>
      <c r="GW29" s="3"/>
      <c r="GX29" s="3"/>
      <c r="GY29" s="3"/>
      <c r="GZ29" s="3"/>
      <c r="HA29" s="3"/>
      <c r="HB29" s="3"/>
      <c r="HC29" s="3"/>
      <c r="HD29" s="3"/>
      <c r="HE29" s="3"/>
      <c r="HF29" s="3"/>
      <c r="HG29" s="3"/>
      <c r="HH29" s="3"/>
      <c r="HI29" s="3"/>
      <c r="HJ29" s="3"/>
      <c r="HK29" s="3"/>
      <c r="HL29" s="3"/>
      <c r="HM29" s="3"/>
      <c r="HN29" s="3"/>
      <c r="HO29" s="3"/>
      <c r="HP29" s="3"/>
      <c r="HQ29" s="3"/>
      <c r="HR29" s="3"/>
      <c r="HS29" s="3"/>
      <c r="HT29" s="3"/>
      <c r="HU29" s="3"/>
      <c r="HV29" s="3"/>
      <c r="HW29" s="3"/>
      <c r="HX29" s="3"/>
      <c r="HY29" s="3"/>
      <c r="HZ29" s="3"/>
      <c r="IA29" s="3"/>
      <c r="IB29" s="3"/>
      <c r="IC29" s="3"/>
      <c r="ID29" s="3"/>
      <c r="IE29" s="3"/>
      <c r="IF29" s="3"/>
      <c r="IG29" s="3"/>
      <c r="IH29" s="3"/>
      <c r="II29" s="3"/>
      <c r="IJ29" s="3"/>
      <c r="IK29" s="3"/>
      <c r="IL29" s="3"/>
      <c r="IM29" s="3"/>
      <c r="IN29" s="3"/>
      <c r="IO29" s="3"/>
      <c r="IP29" s="3"/>
      <c r="IQ29" s="3"/>
      <c r="IR29" s="3"/>
      <c r="IS29" s="3"/>
      <c r="IT29" s="3"/>
    </row>
    <row r="30" spans="1:254" ht="14.5" customHeight="1" x14ac:dyDescent="0.2">
      <c r="A30" s="5" t="s">
        <v>13</v>
      </c>
      <c r="B30" s="30">
        <v>2023</v>
      </c>
      <c r="C30" s="30">
        <f>(9.1+1.7+0.01)*1000</f>
        <v>10809.999999999998</v>
      </c>
      <c r="D30" s="30">
        <v>845000</v>
      </c>
      <c r="E30" s="30">
        <v>47800</v>
      </c>
      <c r="F30" s="30">
        <v>3130000</v>
      </c>
      <c r="G30" s="30">
        <v>23095000</v>
      </c>
      <c r="H30" s="63"/>
      <c r="I30" s="16"/>
      <c r="J30" s="18"/>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c r="CO30" s="3"/>
      <c r="CP30" s="3"/>
      <c r="CQ30" s="3"/>
      <c r="CR30" s="3"/>
      <c r="CS30" s="3"/>
      <c r="CT30" s="3"/>
      <c r="CU30" s="3"/>
      <c r="CV30" s="3"/>
      <c r="CW30" s="3"/>
      <c r="CX30" s="3"/>
      <c r="CY30" s="3"/>
      <c r="CZ30" s="3"/>
      <c r="DA30" s="3"/>
      <c r="DB30" s="3"/>
      <c r="DC30" s="3"/>
      <c r="DD30" s="3"/>
      <c r="DE30" s="3"/>
      <c r="DF30" s="3"/>
      <c r="DG30" s="3"/>
      <c r="DH30" s="3"/>
      <c r="DI30" s="3"/>
      <c r="DJ30" s="3"/>
      <c r="DK30" s="3"/>
      <c r="DL30" s="3"/>
      <c r="DM30" s="3"/>
      <c r="DN30" s="3"/>
      <c r="DO30" s="3"/>
      <c r="DP30" s="3"/>
      <c r="DQ30" s="3"/>
      <c r="DR30" s="3"/>
      <c r="DS30" s="3"/>
      <c r="DT30" s="3"/>
      <c r="DU30" s="3"/>
      <c r="DV30" s="3"/>
      <c r="DW30" s="3"/>
      <c r="DX30" s="3"/>
      <c r="DY30" s="3"/>
      <c r="DZ30" s="3"/>
      <c r="EA30" s="3"/>
      <c r="EB30" s="3"/>
      <c r="EC30" s="3"/>
      <c r="ED30" s="3"/>
      <c r="EE30" s="3"/>
      <c r="EF30" s="3"/>
      <c r="EG30" s="3"/>
      <c r="EH30" s="3"/>
      <c r="EI30" s="3"/>
      <c r="EJ30" s="3"/>
      <c r="EK30" s="3"/>
      <c r="EL30" s="3"/>
      <c r="EM30" s="3"/>
      <c r="EN30" s="3"/>
      <c r="EO30" s="3"/>
      <c r="EP30" s="3"/>
      <c r="EQ30" s="3"/>
      <c r="ER30" s="3"/>
      <c r="ES30" s="3"/>
      <c r="ET30" s="3"/>
      <c r="EU30" s="3"/>
      <c r="EV30" s="3"/>
      <c r="EW30" s="3"/>
      <c r="EX30" s="3"/>
      <c r="EY30" s="3"/>
      <c r="EZ30" s="3"/>
      <c r="FA30" s="3"/>
      <c r="FB30" s="3"/>
      <c r="FC30" s="3"/>
      <c r="FD30" s="3"/>
      <c r="FE30" s="3"/>
      <c r="FF30" s="3"/>
      <c r="FG30" s="3"/>
      <c r="FH30" s="3"/>
      <c r="FI30" s="3"/>
      <c r="FJ30" s="3"/>
      <c r="FK30" s="3"/>
      <c r="FL30" s="3"/>
      <c r="FM30" s="3"/>
      <c r="FN30" s="3"/>
      <c r="FO30" s="3"/>
      <c r="FP30" s="3"/>
      <c r="FQ30" s="3"/>
      <c r="FR30" s="3"/>
      <c r="FS30" s="3"/>
      <c r="FT30" s="3"/>
      <c r="FU30" s="3"/>
      <c r="FV30" s="3"/>
      <c r="FW30" s="3"/>
      <c r="FX30" s="3"/>
      <c r="FY30" s="3"/>
      <c r="FZ30" s="3"/>
      <c r="GA30" s="3"/>
      <c r="GB30" s="3"/>
      <c r="GC30" s="3"/>
      <c r="GD30" s="3"/>
      <c r="GE30" s="3"/>
      <c r="GF30" s="3"/>
      <c r="GG30" s="3"/>
      <c r="GH30" s="3"/>
      <c r="GI30" s="3"/>
      <c r="GJ30" s="3"/>
      <c r="GK30" s="3"/>
      <c r="GL30" s="3"/>
      <c r="GM30" s="3"/>
      <c r="GN30" s="3"/>
      <c r="GO30" s="3"/>
      <c r="GP30" s="3"/>
      <c r="GQ30" s="3"/>
      <c r="GR30" s="3"/>
      <c r="GS30" s="3"/>
      <c r="GT30" s="3"/>
      <c r="GU30" s="3"/>
      <c r="GV30" s="3"/>
      <c r="GW30" s="3"/>
      <c r="GX30" s="3"/>
      <c r="GY30" s="3"/>
      <c r="GZ30" s="3"/>
      <c r="HA30" s="3"/>
      <c r="HB30" s="3"/>
      <c r="HC30" s="3"/>
      <c r="HD30" s="3"/>
      <c r="HE30" s="3"/>
      <c r="HF30" s="3"/>
      <c r="HG30" s="3"/>
      <c r="HH30" s="3"/>
      <c r="HI30" s="3"/>
      <c r="HJ30" s="3"/>
      <c r="HK30" s="3"/>
      <c r="HL30" s="3"/>
      <c r="HM30" s="3"/>
      <c r="HN30" s="3"/>
      <c r="HO30" s="3"/>
      <c r="HP30" s="3"/>
      <c r="HQ30" s="3"/>
      <c r="HR30" s="3"/>
      <c r="HS30" s="3"/>
      <c r="HT30" s="3"/>
      <c r="HU30" s="3"/>
      <c r="HV30" s="3"/>
      <c r="HW30" s="3"/>
      <c r="HX30" s="3"/>
      <c r="HY30" s="3"/>
      <c r="HZ30" s="3"/>
      <c r="IA30" s="3"/>
      <c r="IB30" s="3"/>
      <c r="IC30" s="3"/>
      <c r="ID30" s="3"/>
      <c r="IE30" s="3"/>
      <c r="IF30" s="3"/>
      <c r="IG30" s="3"/>
      <c r="IH30" s="3"/>
      <c r="II30" s="3"/>
      <c r="IJ30" s="3"/>
      <c r="IK30" s="3"/>
      <c r="IL30" s="3"/>
      <c r="IM30" s="3"/>
      <c r="IN30" s="3"/>
      <c r="IO30" s="3"/>
      <c r="IP30" s="3"/>
      <c r="IQ30" s="3"/>
      <c r="IR30" s="3"/>
      <c r="IS30" s="3"/>
      <c r="IT30" s="3"/>
    </row>
    <row r="31" spans="1:254" ht="14.5" customHeight="1" x14ac:dyDescent="0.2">
      <c r="A31" s="5" t="s">
        <v>13</v>
      </c>
      <c r="B31" s="30">
        <v>2024</v>
      </c>
      <c r="C31" s="30">
        <f>(9.6+1.7+0.02)*1000</f>
        <v>11319.999999999998</v>
      </c>
      <c r="D31" s="30">
        <v>1105000</v>
      </c>
      <c r="E31" s="30">
        <v>97000</v>
      </c>
      <c r="F31" s="30">
        <v>3179000</v>
      </c>
      <c r="G31" s="30">
        <v>25059000</v>
      </c>
      <c r="H31" s="63"/>
      <c r="I31" s="16"/>
      <c r="J31" s="18"/>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c r="CO31" s="3"/>
      <c r="CP31" s="3"/>
      <c r="CQ31" s="3"/>
      <c r="CR31" s="3"/>
      <c r="CS31" s="3"/>
      <c r="CT31" s="3"/>
      <c r="CU31" s="3"/>
      <c r="CV31" s="3"/>
      <c r="CW31" s="3"/>
      <c r="CX31" s="3"/>
      <c r="CY31" s="3"/>
      <c r="CZ31" s="3"/>
      <c r="DA31" s="3"/>
      <c r="DB31" s="3"/>
      <c r="DC31" s="3"/>
      <c r="DD31" s="3"/>
      <c r="DE31" s="3"/>
      <c r="DF31" s="3"/>
      <c r="DG31" s="3"/>
      <c r="DH31" s="3"/>
      <c r="DI31" s="3"/>
      <c r="DJ31" s="3"/>
      <c r="DK31" s="3"/>
      <c r="DL31" s="3"/>
      <c r="DM31" s="3"/>
      <c r="DN31" s="3"/>
      <c r="DO31" s="3"/>
      <c r="DP31" s="3"/>
      <c r="DQ31" s="3"/>
      <c r="DR31" s="3"/>
      <c r="DS31" s="3"/>
      <c r="DT31" s="3"/>
      <c r="DU31" s="3"/>
      <c r="DV31" s="3"/>
      <c r="DW31" s="3"/>
      <c r="DX31" s="3"/>
      <c r="DY31" s="3"/>
      <c r="DZ31" s="3"/>
      <c r="EA31" s="3"/>
      <c r="EB31" s="3"/>
      <c r="EC31" s="3"/>
      <c r="ED31" s="3"/>
      <c r="EE31" s="3"/>
      <c r="EF31" s="3"/>
      <c r="EG31" s="3"/>
      <c r="EH31" s="3"/>
      <c r="EI31" s="3"/>
      <c r="EJ31" s="3"/>
      <c r="EK31" s="3"/>
      <c r="EL31" s="3"/>
      <c r="EM31" s="3"/>
      <c r="EN31" s="3"/>
      <c r="EO31" s="3"/>
      <c r="EP31" s="3"/>
      <c r="EQ31" s="3"/>
      <c r="ER31" s="3"/>
      <c r="ES31" s="3"/>
      <c r="ET31" s="3"/>
      <c r="EU31" s="3"/>
      <c r="EV31" s="3"/>
      <c r="EW31" s="3"/>
      <c r="EX31" s="3"/>
      <c r="EY31" s="3"/>
      <c r="EZ31" s="3"/>
      <c r="FA31" s="3"/>
      <c r="FB31" s="3"/>
      <c r="FC31" s="3"/>
      <c r="FD31" s="3"/>
      <c r="FE31" s="3"/>
      <c r="FF31" s="3"/>
      <c r="FG31" s="3"/>
      <c r="FH31" s="3"/>
      <c r="FI31" s="3"/>
      <c r="FJ31" s="3"/>
      <c r="FK31" s="3"/>
      <c r="FL31" s="3"/>
      <c r="FM31" s="3"/>
      <c r="FN31" s="3"/>
      <c r="FO31" s="3"/>
      <c r="FP31" s="3"/>
      <c r="FQ31" s="3"/>
      <c r="FR31" s="3"/>
      <c r="FS31" s="3"/>
      <c r="FT31" s="3"/>
      <c r="FU31" s="3"/>
      <c r="FV31" s="3"/>
      <c r="FW31" s="3"/>
      <c r="FX31" s="3"/>
      <c r="FY31" s="3"/>
      <c r="FZ31" s="3"/>
      <c r="GA31" s="3"/>
      <c r="GB31" s="3"/>
      <c r="GC31" s="3"/>
      <c r="GD31" s="3"/>
      <c r="GE31" s="3"/>
      <c r="GF31" s="3"/>
      <c r="GG31" s="3"/>
      <c r="GH31" s="3"/>
      <c r="GI31" s="3"/>
      <c r="GJ31" s="3"/>
      <c r="GK31" s="3"/>
      <c r="GL31" s="3"/>
      <c r="GM31" s="3"/>
      <c r="GN31" s="3"/>
      <c r="GO31" s="3"/>
      <c r="GP31" s="3"/>
      <c r="GQ31" s="3"/>
      <c r="GR31" s="3"/>
      <c r="GS31" s="3"/>
      <c r="GT31" s="3"/>
      <c r="GU31" s="3"/>
      <c r="GV31" s="3"/>
      <c r="GW31" s="3"/>
      <c r="GX31" s="3"/>
      <c r="GY31" s="3"/>
      <c r="GZ31" s="3"/>
      <c r="HA31" s="3"/>
      <c r="HB31" s="3"/>
      <c r="HC31" s="3"/>
      <c r="HD31" s="3"/>
      <c r="HE31" s="3"/>
      <c r="HF31" s="3"/>
      <c r="HG31" s="3"/>
      <c r="HH31" s="3"/>
      <c r="HI31" s="3"/>
      <c r="HJ31" s="3"/>
      <c r="HK31" s="3"/>
      <c r="HL31" s="3"/>
      <c r="HM31" s="3"/>
      <c r="HN31" s="3"/>
      <c r="HO31" s="3"/>
      <c r="HP31" s="3"/>
      <c r="HQ31" s="3"/>
      <c r="HR31" s="3"/>
      <c r="HS31" s="3"/>
      <c r="HT31" s="3"/>
      <c r="HU31" s="3"/>
      <c r="HV31" s="3"/>
      <c r="HW31" s="3"/>
      <c r="HX31" s="3"/>
      <c r="HY31" s="3"/>
      <c r="HZ31" s="3"/>
      <c r="IA31" s="3"/>
      <c r="IB31" s="3"/>
      <c r="IC31" s="3"/>
      <c r="ID31" s="3"/>
      <c r="IE31" s="3"/>
      <c r="IF31" s="3"/>
      <c r="IG31" s="3"/>
      <c r="IH31" s="3"/>
      <c r="II31" s="3"/>
      <c r="IJ31" s="3"/>
      <c r="IK31" s="3"/>
      <c r="IL31" s="3"/>
      <c r="IM31" s="3"/>
      <c r="IN31" s="3"/>
      <c r="IO31" s="3"/>
      <c r="IP31" s="3"/>
      <c r="IQ31" s="3"/>
      <c r="IR31" s="3"/>
      <c r="IS31" s="3"/>
      <c r="IT31" s="3"/>
    </row>
    <row r="32" spans="1:254" ht="14.5" customHeight="1" x14ac:dyDescent="0.2">
      <c r="A32" s="7" t="s">
        <v>15</v>
      </c>
      <c r="B32" s="31">
        <v>2015</v>
      </c>
      <c r="C32" s="32">
        <f>10070708*0.00029287508333333</f>
        <v>2949.4594447256331</v>
      </c>
      <c r="D32" s="31">
        <v>1080000</v>
      </c>
      <c r="E32" s="31">
        <v>1320000</v>
      </c>
      <c r="F32" s="31" t="s">
        <v>9</v>
      </c>
      <c r="G32" s="34" t="s">
        <v>9</v>
      </c>
      <c r="H32" s="62" t="s">
        <v>16</v>
      </c>
      <c r="I32" s="16"/>
      <c r="J32" s="18"/>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c r="CO32" s="3"/>
      <c r="CP32" s="3"/>
      <c r="CQ32" s="3"/>
      <c r="CR32" s="3"/>
      <c r="CS32" s="3"/>
      <c r="CT32" s="3"/>
      <c r="CU32" s="3"/>
      <c r="CV32" s="3"/>
      <c r="CW32" s="3"/>
      <c r="CX32" s="3"/>
      <c r="CY32" s="3"/>
      <c r="CZ32" s="3"/>
      <c r="DA32" s="3"/>
      <c r="DB32" s="3"/>
      <c r="DC32" s="3"/>
      <c r="DD32" s="3"/>
      <c r="DE32" s="3"/>
      <c r="DF32" s="3"/>
      <c r="DG32" s="3"/>
      <c r="DH32" s="3"/>
      <c r="DI32" s="3"/>
      <c r="DJ32" s="3"/>
      <c r="DK32" s="3"/>
      <c r="DL32" s="3"/>
      <c r="DM32" s="3"/>
      <c r="DN32" s="3"/>
      <c r="DO32" s="3"/>
      <c r="DP32" s="3"/>
      <c r="DQ32" s="3"/>
      <c r="DR32" s="3"/>
      <c r="DS32" s="3"/>
      <c r="DT32" s="3"/>
      <c r="DU32" s="3"/>
      <c r="DV32" s="3"/>
      <c r="DW32" s="3"/>
      <c r="DX32" s="3"/>
      <c r="DY32" s="3"/>
      <c r="DZ32" s="3"/>
      <c r="EA32" s="3"/>
      <c r="EB32" s="3"/>
      <c r="EC32" s="3"/>
      <c r="ED32" s="3"/>
      <c r="EE32" s="3"/>
      <c r="EF32" s="3"/>
      <c r="EG32" s="3"/>
      <c r="EH32" s="3"/>
      <c r="EI32" s="3"/>
      <c r="EJ32" s="3"/>
      <c r="EK32" s="3"/>
      <c r="EL32" s="3"/>
      <c r="EM32" s="3"/>
      <c r="EN32" s="3"/>
      <c r="EO32" s="3"/>
      <c r="EP32" s="3"/>
      <c r="EQ32" s="3"/>
      <c r="ER32" s="3"/>
      <c r="ES32" s="3"/>
      <c r="ET32" s="3"/>
      <c r="EU32" s="3"/>
      <c r="EV32" s="3"/>
      <c r="EW32" s="3"/>
      <c r="EX32" s="3"/>
      <c r="EY32" s="3"/>
      <c r="EZ32" s="3"/>
      <c r="FA32" s="3"/>
      <c r="FB32" s="3"/>
      <c r="FC32" s="3"/>
      <c r="FD32" s="3"/>
      <c r="FE32" s="3"/>
      <c r="FF32" s="3"/>
      <c r="FG32" s="3"/>
      <c r="FH32" s="3"/>
      <c r="FI32" s="3"/>
      <c r="FJ32" s="3"/>
      <c r="FK32" s="3"/>
      <c r="FL32" s="3"/>
      <c r="FM32" s="3"/>
      <c r="FN32" s="3"/>
      <c r="FO32" s="3"/>
      <c r="FP32" s="3"/>
      <c r="FQ32" s="3"/>
      <c r="FR32" s="3"/>
      <c r="FS32" s="3"/>
      <c r="FT32" s="3"/>
      <c r="FU32" s="3"/>
      <c r="FV32" s="3"/>
      <c r="FW32" s="3"/>
      <c r="FX32" s="3"/>
      <c r="FY32" s="3"/>
      <c r="FZ32" s="3"/>
      <c r="GA32" s="3"/>
      <c r="GB32" s="3"/>
      <c r="GC32" s="3"/>
      <c r="GD32" s="3"/>
      <c r="GE32" s="3"/>
      <c r="GF32" s="3"/>
      <c r="GG32" s="3"/>
      <c r="GH32" s="3"/>
      <c r="GI32" s="3"/>
      <c r="GJ32" s="3"/>
      <c r="GK32" s="3"/>
      <c r="GL32" s="3"/>
      <c r="GM32" s="3"/>
      <c r="GN32" s="3"/>
      <c r="GO32" s="3"/>
      <c r="GP32" s="3"/>
      <c r="GQ32" s="3"/>
      <c r="GR32" s="3"/>
      <c r="GS32" s="3"/>
      <c r="GT32" s="3"/>
      <c r="GU32" s="3"/>
      <c r="GV32" s="3"/>
      <c r="GW32" s="3"/>
      <c r="GX32" s="3"/>
      <c r="GY32" s="3"/>
      <c r="GZ32" s="3"/>
      <c r="HA32" s="3"/>
      <c r="HB32" s="3"/>
      <c r="HC32" s="3"/>
      <c r="HD32" s="3"/>
      <c r="HE32" s="3"/>
      <c r="HF32" s="3"/>
      <c r="HG32" s="3"/>
      <c r="HH32" s="3"/>
      <c r="HI32" s="3"/>
      <c r="HJ32" s="3"/>
      <c r="HK32" s="3"/>
      <c r="HL32" s="3"/>
      <c r="HM32" s="3"/>
      <c r="HN32" s="3"/>
      <c r="HO32" s="3"/>
      <c r="HP32" s="3"/>
      <c r="HQ32" s="3"/>
      <c r="HR32" s="3"/>
      <c r="HS32" s="3"/>
      <c r="HT32" s="3"/>
      <c r="HU32" s="3"/>
      <c r="HV32" s="3"/>
      <c r="HW32" s="3"/>
      <c r="HX32" s="3"/>
      <c r="HY32" s="3"/>
      <c r="HZ32" s="3"/>
      <c r="IA32" s="3"/>
      <c r="IB32" s="3"/>
      <c r="IC32" s="3"/>
      <c r="ID32" s="3"/>
      <c r="IE32" s="3"/>
      <c r="IF32" s="3"/>
      <c r="IG32" s="3"/>
      <c r="IH32" s="3"/>
      <c r="II32" s="3"/>
      <c r="IJ32" s="3"/>
      <c r="IK32" s="3"/>
      <c r="IL32" s="3"/>
      <c r="IM32" s="3"/>
      <c r="IN32" s="3"/>
      <c r="IO32" s="3"/>
      <c r="IP32" s="3"/>
      <c r="IQ32" s="3"/>
      <c r="IR32" s="3"/>
      <c r="IS32" s="3"/>
      <c r="IT32" s="3"/>
    </row>
    <row r="33" spans="1:254" ht="14.5" customHeight="1" x14ac:dyDescent="0.2">
      <c r="A33" s="5" t="s">
        <v>15</v>
      </c>
      <c r="B33" s="30">
        <v>2016</v>
      </c>
      <c r="C33" s="33">
        <f>9729088*0.00029287508333333</f>
        <v>2849.4074587573009</v>
      </c>
      <c r="D33" s="30">
        <v>1090000</v>
      </c>
      <c r="E33" s="30">
        <v>1300000</v>
      </c>
      <c r="F33" s="30" t="s">
        <v>9</v>
      </c>
      <c r="G33" s="35" t="s">
        <v>9</v>
      </c>
      <c r="H33" s="63"/>
      <c r="I33" s="16"/>
      <c r="J33" s="18"/>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c r="CO33" s="3"/>
      <c r="CP33" s="3"/>
      <c r="CQ33" s="3"/>
      <c r="CR33" s="3"/>
      <c r="CS33" s="3"/>
      <c r="CT33" s="3"/>
      <c r="CU33" s="3"/>
      <c r="CV33" s="3"/>
      <c r="CW33" s="3"/>
      <c r="CX33" s="3"/>
      <c r="CY33" s="3"/>
      <c r="CZ33" s="3"/>
      <c r="DA33" s="3"/>
      <c r="DB33" s="3"/>
      <c r="DC33" s="3"/>
      <c r="DD33" s="3"/>
      <c r="DE33" s="3"/>
      <c r="DF33" s="3"/>
      <c r="DG33" s="3"/>
      <c r="DH33" s="3"/>
      <c r="DI33" s="3"/>
      <c r="DJ33" s="3"/>
      <c r="DK33" s="3"/>
      <c r="DL33" s="3"/>
      <c r="DM33" s="3"/>
      <c r="DN33" s="3"/>
      <c r="DO33" s="3"/>
      <c r="DP33" s="3"/>
      <c r="DQ33" s="3"/>
      <c r="DR33" s="3"/>
      <c r="DS33" s="3"/>
      <c r="DT33" s="3"/>
      <c r="DU33" s="3"/>
      <c r="DV33" s="3"/>
      <c r="DW33" s="3"/>
      <c r="DX33" s="3"/>
      <c r="DY33" s="3"/>
      <c r="DZ33" s="3"/>
      <c r="EA33" s="3"/>
      <c r="EB33" s="3"/>
      <c r="EC33" s="3"/>
      <c r="ED33" s="3"/>
      <c r="EE33" s="3"/>
      <c r="EF33" s="3"/>
      <c r="EG33" s="3"/>
      <c r="EH33" s="3"/>
      <c r="EI33" s="3"/>
      <c r="EJ33" s="3"/>
      <c r="EK33" s="3"/>
      <c r="EL33" s="3"/>
      <c r="EM33" s="3"/>
      <c r="EN33" s="3"/>
      <c r="EO33" s="3"/>
      <c r="EP33" s="3"/>
      <c r="EQ33" s="3"/>
      <c r="ER33" s="3"/>
      <c r="ES33" s="3"/>
      <c r="ET33" s="3"/>
      <c r="EU33" s="3"/>
      <c r="EV33" s="3"/>
      <c r="EW33" s="3"/>
      <c r="EX33" s="3"/>
      <c r="EY33" s="3"/>
      <c r="EZ33" s="3"/>
      <c r="FA33" s="3"/>
      <c r="FB33" s="3"/>
      <c r="FC33" s="3"/>
      <c r="FD33" s="3"/>
      <c r="FE33" s="3"/>
      <c r="FF33" s="3"/>
      <c r="FG33" s="3"/>
      <c r="FH33" s="3"/>
      <c r="FI33" s="3"/>
      <c r="FJ33" s="3"/>
      <c r="FK33" s="3"/>
      <c r="FL33" s="3"/>
      <c r="FM33" s="3"/>
      <c r="FN33" s="3"/>
      <c r="FO33" s="3"/>
      <c r="FP33" s="3"/>
      <c r="FQ33" s="3"/>
      <c r="FR33" s="3"/>
      <c r="FS33" s="3"/>
      <c r="FT33" s="3"/>
      <c r="FU33" s="3"/>
      <c r="FV33" s="3"/>
      <c r="FW33" s="3"/>
      <c r="FX33" s="3"/>
      <c r="FY33" s="3"/>
      <c r="FZ33" s="3"/>
      <c r="GA33" s="3"/>
      <c r="GB33" s="3"/>
      <c r="GC33" s="3"/>
      <c r="GD33" s="3"/>
      <c r="GE33" s="3"/>
      <c r="GF33" s="3"/>
      <c r="GG33" s="3"/>
      <c r="GH33" s="3"/>
      <c r="GI33" s="3"/>
      <c r="GJ33" s="3"/>
      <c r="GK33" s="3"/>
      <c r="GL33" s="3"/>
      <c r="GM33" s="3"/>
      <c r="GN33" s="3"/>
      <c r="GO33" s="3"/>
      <c r="GP33" s="3"/>
      <c r="GQ33" s="3"/>
      <c r="GR33" s="3"/>
      <c r="GS33" s="3"/>
      <c r="GT33" s="3"/>
      <c r="GU33" s="3"/>
      <c r="GV33" s="3"/>
      <c r="GW33" s="3"/>
      <c r="GX33" s="3"/>
      <c r="GY33" s="3"/>
      <c r="GZ33" s="3"/>
      <c r="HA33" s="3"/>
      <c r="HB33" s="3"/>
      <c r="HC33" s="3"/>
      <c r="HD33" s="3"/>
      <c r="HE33" s="3"/>
      <c r="HF33" s="3"/>
      <c r="HG33" s="3"/>
      <c r="HH33" s="3"/>
      <c r="HI33" s="3"/>
      <c r="HJ33" s="3"/>
      <c r="HK33" s="3"/>
      <c r="HL33" s="3"/>
      <c r="HM33" s="3"/>
      <c r="HN33" s="3"/>
      <c r="HO33" s="3"/>
      <c r="HP33" s="3"/>
      <c r="HQ33" s="3"/>
      <c r="HR33" s="3"/>
      <c r="HS33" s="3"/>
      <c r="HT33" s="3"/>
      <c r="HU33" s="3"/>
      <c r="HV33" s="3"/>
      <c r="HW33" s="3"/>
      <c r="HX33" s="3"/>
      <c r="HY33" s="3"/>
      <c r="HZ33" s="3"/>
      <c r="IA33" s="3"/>
      <c r="IB33" s="3"/>
      <c r="IC33" s="3"/>
      <c r="ID33" s="3"/>
      <c r="IE33" s="3"/>
      <c r="IF33" s="3"/>
      <c r="IG33" s="3"/>
      <c r="IH33" s="3"/>
      <c r="II33" s="3"/>
      <c r="IJ33" s="3"/>
      <c r="IK33" s="3"/>
      <c r="IL33" s="3"/>
      <c r="IM33" s="3"/>
      <c r="IN33" s="3"/>
      <c r="IO33" s="3"/>
      <c r="IP33" s="3"/>
      <c r="IQ33" s="3"/>
      <c r="IR33" s="3"/>
      <c r="IS33" s="3"/>
      <c r="IT33" s="3"/>
    </row>
    <row r="34" spans="1:254" ht="14.5" customHeight="1" x14ac:dyDescent="0.2">
      <c r="A34" s="5" t="s">
        <v>15</v>
      </c>
      <c r="B34" s="30">
        <v>2017</v>
      </c>
      <c r="C34" s="33">
        <v>2951.8850000000002</v>
      </c>
      <c r="D34" s="30">
        <v>1160000</v>
      </c>
      <c r="E34" s="30">
        <v>1360000</v>
      </c>
      <c r="F34" s="30" t="s">
        <v>9</v>
      </c>
      <c r="G34" s="35" t="s">
        <v>9</v>
      </c>
      <c r="H34" s="63"/>
      <c r="I34" s="16"/>
      <c r="J34" s="18"/>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c r="CO34" s="3"/>
      <c r="CP34" s="3"/>
      <c r="CQ34" s="3"/>
      <c r="CR34" s="3"/>
      <c r="CS34" s="3"/>
      <c r="CT34" s="3"/>
      <c r="CU34" s="3"/>
      <c r="CV34" s="3"/>
      <c r="CW34" s="3"/>
      <c r="CX34" s="3"/>
      <c r="CY34" s="3"/>
      <c r="CZ34" s="3"/>
      <c r="DA34" s="3"/>
      <c r="DB34" s="3"/>
      <c r="DC34" s="3"/>
      <c r="DD34" s="3"/>
      <c r="DE34" s="3"/>
      <c r="DF34" s="3"/>
      <c r="DG34" s="3"/>
      <c r="DH34" s="3"/>
      <c r="DI34" s="3"/>
      <c r="DJ34" s="3"/>
      <c r="DK34" s="3"/>
      <c r="DL34" s="3"/>
      <c r="DM34" s="3"/>
      <c r="DN34" s="3"/>
      <c r="DO34" s="3"/>
      <c r="DP34" s="3"/>
      <c r="DQ34" s="3"/>
      <c r="DR34" s="3"/>
      <c r="DS34" s="3"/>
      <c r="DT34" s="3"/>
      <c r="DU34" s="3"/>
      <c r="DV34" s="3"/>
      <c r="DW34" s="3"/>
      <c r="DX34" s="3"/>
      <c r="DY34" s="3"/>
      <c r="DZ34" s="3"/>
      <c r="EA34" s="3"/>
      <c r="EB34" s="3"/>
      <c r="EC34" s="3"/>
      <c r="ED34" s="3"/>
      <c r="EE34" s="3"/>
      <c r="EF34" s="3"/>
      <c r="EG34" s="3"/>
      <c r="EH34" s="3"/>
      <c r="EI34" s="3"/>
      <c r="EJ34" s="3"/>
      <c r="EK34" s="3"/>
      <c r="EL34" s="3"/>
      <c r="EM34" s="3"/>
      <c r="EN34" s="3"/>
      <c r="EO34" s="3"/>
      <c r="EP34" s="3"/>
      <c r="EQ34" s="3"/>
      <c r="ER34" s="3"/>
      <c r="ES34" s="3"/>
      <c r="ET34" s="3"/>
      <c r="EU34" s="3"/>
      <c r="EV34" s="3"/>
      <c r="EW34" s="3"/>
      <c r="EX34" s="3"/>
      <c r="EY34" s="3"/>
      <c r="EZ34" s="3"/>
      <c r="FA34" s="3"/>
      <c r="FB34" s="3"/>
      <c r="FC34" s="3"/>
      <c r="FD34" s="3"/>
      <c r="FE34" s="3"/>
      <c r="FF34" s="3"/>
      <c r="FG34" s="3"/>
      <c r="FH34" s="3"/>
      <c r="FI34" s="3"/>
      <c r="FJ34" s="3"/>
      <c r="FK34" s="3"/>
      <c r="FL34" s="3"/>
      <c r="FM34" s="3"/>
      <c r="FN34" s="3"/>
      <c r="FO34" s="3"/>
      <c r="FP34" s="3"/>
      <c r="FQ34" s="3"/>
      <c r="FR34" s="3"/>
      <c r="FS34" s="3"/>
      <c r="FT34" s="3"/>
      <c r="FU34" s="3"/>
      <c r="FV34" s="3"/>
      <c r="FW34" s="3"/>
      <c r="FX34" s="3"/>
      <c r="FY34" s="3"/>
      <c r="FZ34" s="3"/>
      <c r="GA34" s="3"/>
      <c r="GB34" s="3"/>
      <c r="GC34" s="3"/>
      <c r="GD34" s="3"/>
      <c r="GE34" s="3"/>
      <c r="GF34" s="3"/>
      <c r="GG34" s="3"/>
      <c r="GH34" s="3"/>
      <c r="GI34" s="3"/>
      <c r="GJ34" s="3"/>
      <c r="GK34" s="3"/>
      <c r="GL34" s="3"/>
      <c r="GM34" s="3"/>
      <c r="GN34" s="3"/>
      <c r="GO34" s="3"/>
      <c r="GP34" s="3"/>
      <c r="GQ34" s="3"/>
      <c r="GR34" s="3"/>
      <c r="GS34" s="3"/>
      <c r="GT34" s="3"/>
      <c r="GU34" s="3"/>
      <c r="GV34" s="3"/>
      <c r="GW34" s="3"/>
      <c r="GX34" s="3"/>
      <c r="GY34" s="3"/>
      <c r="GZ34" s="3"/>
      <c r="HA34" s="3"/>
      <c r="HB34" s="3"/>
      <c r="HC34" s="3"/>
      <c r="HD34" s="3"/>
      <c r="HE34" s="3"/>
      <c r="HF34" s="3"/>
      <c r="HG34" s="3"/>
      <c r="HH34" s="3"/>
      <c r="HI34" s="3"/>
      <c r="HJ34" s="3"/>
      <c r="HK34" s="3"/>
      <c r="HL34" s="3"/>
      <c r="HM34" s="3"/>
      <c r="HN34" s="3"/>
      <c r="HO34" s="3"/>
      <c r="HP34" s="3"/>
      <c r="HQ34" s="3"/>
      <c r="HR34" s="3"/>
      <c r="HS34" s="3"/>
      <c r="HT34" s="3"/>
      <c r="HU34" s="3"/>
      <c r="HV34" s="3"/>
      <c r="HW34" s="3"/>
      <c r="HX34" s="3"/>
      <c r="HY34" s="3"/>
      <c r="HZ34" s="3"/>
      <c r="IA34" s="3"/>
      <c r="IB34" s="3"/>
      <c r="IC34" s="3"/>
      <c r="ID34" s="3"/>
      <c r="IE34" s="3"/>
      <c r="IF34" s="3"/>
      <c r="IG34" s="3"/>
      <c r="IH34" s="3"/>
      <c r="II34" s="3"/>
      <c r="IJ34" s="3"/>
      <c r="IK34" s="3"/>
      <c r="IL34" s="3"/>
      <c r="IM34" s="3"/>
      <c r="IN34" s="3"/>
      <c r="IO34" s="3"/>
      <c r="IP34" s="3"/>
      <c r="IQ34" s="3"/>
      <c r="IR34" s="3"/>
      <c r="IS34" s="3"/>
      <c r="IT34" s="3"/>
    </row>
    <row r="35" spans="1:254" ht="14.5" customHeight="1" x14ac:dyDescent="0.2">
      <c r="A35" s="5" t="s">
        <v>15</v>
      </c>
      <c r="B35" s="30">
        <v>2018</v>
      </c>
      <c r="C35" s="33">
        <v>3022.1089999999999</v>
      </c>
      <c r="D35" s="30">
        <v>1130000</v>
      </c>
      <c r="E35" s="30">
        <v>1120000</v>
      </c>
      <c r="F35" s="30" t="s">
        <v>9</v>
      </c>
      <c r="G35" s="35" t="s">
        <v>9</v>
      </c>
      <c r="H35" s="63"/>
      <c r="I35" s="16"/>
      <c r="J35" s="18"/>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c r="CO35" s="3"/>
      <c r="CP35" s="3"/>
      <c r="CQ35" s="3"/>
      <c r="CR35" s="3"/>
      <c r="CS35" s="3"/>
      <c r="CT35" s="3"/>
      <c r="CU35" s="3"/>
      <c r="CV35" s="3"/>
      <c r="CW35" s="3"/>
      <c r="CX35" s="3"/>
      <c r="CY35" s="3"/>
      <c r="CZ35" s="3"/>
      <c r="DA35" s="3"/>
      <c r="DB35" s="3"/>
      <c r="DC35" s="3"/>
      <c r="DD35" s="3"/>
      <c r="DE35" s="3"/>
      <c r="DF35" s="3"/>
      <c r="DG35" s="3"/>
      <c r="DH35" s="3"/>
      <c r="DI35" s="3"/>
      <c r="DJ35" s="3"/>
      <c r="DK35" s="3"/>
      <c r="DL35" s="3"/>
      <c r="DM35" s="3"/>
      <c r="DN35" s="3"/>
      <c r="DO35" s="3"/>
      <c r="DP35" s="3"/>
      <c r="DQ35" s="3"/>
      <c r="DR35" s="3"/>
      <c r="DS35" s="3"/>
      <c r="DT35" s="3"/>
      <c r="DU35" s="3"/>
      <c r="DV35" s="3"/>
      <c r="DW35" s="3"/>
      <c r="DX35" s="3"/>
      <c r="DY35" s="3"/>
      <c r="DZ35" s="3"/>
      <c r="EA35" s="3"/>
      <c r="EB35" s="3"/>
      <c r="EC35" s="3"/>
      <c r="ED35" s="3"/>
      <c r="EE35" s="3"/>
      <c r="EF35" s="3"/>
      <c r="EG35" s="3"/>
      <c r="EH35" s="3"/>
      <c r="EI35" s="3"/>
      <c r="EJ35" s="3"/>
      <c r="EK35" s="3"/>
      <c r="EL35" s="3"/>
      <c r="EM35" s="3"/>
      <c r="EN35" s="3"/>
      <c r="EO35" s="3"/>
      <c r="EP35" s="3"/>
      <c r="EQ35" s="3"/>
      <c r="ER35" s="3"/>
      <c r="ES35" s="3"/>
      <c r="ET35" s="3"/>
      <c r="EU35" s="3"/>
      <c r="EV35" s="3"/>
      <c r="EW35" s="3"/>
      <c r="EX35" s="3"/>
      <c r="EY35" s="3"/>
      <c r="EZ35" s="3"/>
      <c r="FA35" s="3"/>
      <c r="FB35" s="3"/>
      <c r="FC35" s="3"/>
      <c r="FD35" s="3"/>
      <c r="FE35" s="3"/>
      <c r="FF35" s="3"/>
      <c r="FG35" s="3"/>
      <c r="FH35" s="3"/>
      <c r="FI35" s="3"/>
      <c r="FJ35" s="3"/>
      <c r="FK35" s="3"/>
      <c r="FL35" s="3"/>
      <c r="FM35" s="3"/>
      <c r="FN35" s="3"/>
      <c r="FO35" s="3"/>
      <c r="FP35" s="3"/>
      <c r="FQ35" s="3"/>
      <c r="FR35" s="3"/>
      <c r="FS35" s="3"/>
      <c r="FT35" s="3"/>
      <c r="FU35" s="3"/>
      <c r="FV35" s="3"/>
      <c r="FW35" s="3"/>
      <c r="FX35" s="3"/>
      <c r="FY35" s="3"/>
      <c r="FZ35" s="3"/>
      <c r="GA35" s="3"/>
      <c r="GB35" s="3"/>
      <c r="GC35" s="3"/>
      <c r="GD35" s="3"/>
      <c r="GE35" s="3"/>
      <c r="GF35" s="3"/>
      <c r="GG35" s="3"/>
      <c r="GH35" s="3"/>
      <c r="GI35" s="3"/>
      <c r="GJ35" s="3"/>
      <c r="GK35" s="3"/>
      <c r="GL35" s="3"/>
      <c r="GM35" s="3"/>
      <c r="GN35" s="3"/>
      <c r="GO35" s="3"/>
      <c r="GP35" s="3"/>
      <c r="GQ35" s="3"/>
      <c r="GR35" s="3"/>
      <c r="GS35" s="3"/>
      <c r="GT35" s="3"/>
      <c r="GU35" s="3"/>
      <c r="GV35" s="3"/>
      <c r="GW35" s="3"/>
      <c r="GX35" s="3"/>
      <c r="GY35" s="3"/>
      <c r="GZ35" s="3"/>
      <c r="HA35" s="3"/>
      <c r="HB35" s="3"/>
      <c r="HC35" s="3"/>
      <c r="HD35" s="3"/>
      <c r="HE35" s="3"/>
      <c r="HF35" s="3"/>
      <c r="HG35" s="3"/>
      <c r="HH35" s="3"/>
      <c r="HI35" s="3"/>
      <c r="HJ35" s="3"/>
      <c r="HK35" s="3"/>
      <c r="HL35" s="3"/>
      <c r="HM35" s="3"/>
      <c r="HN35" s="3"/>
      <c r="HO35" s="3"/>
      <c r="HP35" s="3"/>
      <c r="HQ35" s="3"/>
      <c r="HR35" s="3"/>
      <c r="HS35" s="3"/>
      <c r="HT35" s="3"/>
      <c r="HU35" s="3"/>
      <c r="HV35" s="3"/>
      <c r="HW35" s="3"/>
      <c r="HX35" s="3"/>
      <c r="HY35" s="3"/>
      <c r="HZ35" s="3"/>
      <c r="IA35" s="3"/>
      <c r="IB35" s="3"/>
      <c r="IC35" s="3"/>
      <c r="ID35" s="3"/>
      <c r="IE35" s="3"/>
      <c r="IF35" s="3"/>
      <c r="IG35" s="3"/>
      <c r="IH35" s="3"/>
      <c r="II35" s="3"/>
      <c r="IJ35" s="3"/>
      <c r="IK35" s="3"/>
      <c r="IL35" s="3"/>
      <c r="IM35" s="3"/>
      <c r="IN35" s="3"/>
      <c r="IO35" s="3"/>
      <c r="IP35" s="3"/>
      <c r="IQ35" s="3"/>
      <c r="IR35" s="3"/>
      <c r="IS35" s="3"/>
      <c r="IT35" s="3"/>
    </row>
    <row r="36" spans="1:254" ht="14.5" customHeight="1" x14ac:dyDescent="0.2">
      <c r="A36" s="5" t="s">
        <v>15</v>
      </c>
      <c r="B36" s="30">
        <v>2019</v>
      </c>
      <c r="C36" s="33">
        <v>2989.9670000000001</v>
      </c>
      <c r="D36" s="30">
        <v>970000</v>
      </c>
      <c r="E36" s="30">
        <v>1100000</v>
      </c>
      <c r="F36" s="30" t="s">
        <v>9</v>
      </c>
      <c r="G36" s="35" t="s">
        <v>9</v>
      </c>
      <c r="H36" s="63"/>
      <c r="I36" s="16"/>
      <c r="J36" s="18"/>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c r="CO36" s="3"/>
      <c r="CP36" s="3"/>
      <c r="CQ36" s="3"/>
      <c r="CR36" s="3"/>
      <c r="CS36" s="3"/>
      <c r="CT36" s="3"/>
      <c r="CU36" s="3"/>
      <c r="CV36" s="3"/>
      <c r="CW36" s="3"/>
      <c r="CX36" s="3"/>
      <c r="CY36" s="3"/>
      <c r="CZ36" s="3"/>
      <c r="DA36" s="3"/>
      <c r="DB36" s="3"/>
      <c r="DC36" s="3"/>
      <c r="DD36" s="3"/>
      <c r="DE36" s="3"/>
      <c r="DF36" s="3"/>
      <c r="DG36" s="3"/>
      <c r="DH36" s="3"/>
      <c r="DI36" s="3"/>
      <c r="DJ36" s="3"/>
      <c r="DK36" s="3"/>
      <c r="DL36" s="3"/>
      <c r="DM36" s="3"/>
      <c r="DN36" s="3"/>
      <c r="DO36" s="3"/>
      <c r="DP36" s="3"/>
      <c r="DQ36" s="3"/>
      <c r="DR36" s="3"/>
      <c r="DS36" s="3"/>
      <c r="DT36" s="3"/>
      <c r="DU36" s="3"/>
      <c r="DV36" s="3"/>
      <c r="DW36" s="3"/>
      <c r="DX36" s="3"/>
      <c r="DY36" s="3"/>
      <c r="DZ36" s="3"/>
      <c r="EA36" s="3"/>
      <c r="EB36" s="3"/>
      <c r="EC36" s="3"/>
      <c r="ED36" s="3"/>
      <c r="EE36" s="3"/>
      <c r="EF36" s="3"/>
      <c r="EG36" s="3"/>
      <c r="EH36" s="3"/>
      <c r="EI36" s="3"/>
      <c r="EJ36" s="3"/>
      <c r="EK36" s="3"/>
      <c r="EL36" s="3"/>
      <c r="EM36" s="3"/>
      <c r="EN36" s="3"/>
      <c r="EO36" s="3"/>
      <c r="EP36" s="3"/>
      <c r="EQ36" s="3"/>
      <c r="ER36" s="3"/>
      <c r="ES36" s="3"/>
      <c r="ET36" s="3"/>
      <c r="EU36" s="3"/>
      <c r="EV36" s="3"/>
      <c r="EW36" s="3"/>
      <c r="EX36" s="3"/>
      <c r="EY36" s="3"/>
      <c r="EZ36" s="3"/>
      <c r="FA36" s="3"/>
      <c r="FB36" s="3"/>
      <c r="FC36" s="3"/>
      <c r="FD36" s="3"/>
      <c r="FE36" s="3"/>
      <c r="FF36" s="3"/>
      <c r="FG36" s="3"/>
      <c r="FH36" s="3"/>
      <c r="FI36" s="3"/>
      <c r="FJ36" s="3"/>
      <c r="FK36" s="3"/>
      <c r="FL36" s="3"/>
      <c r="FM36" s="3"/>
      <c r="FN36" s="3"/>
      <c r="FO36" s="3"/>
      <c r="FP36" s="3"/>
      <c r="FQ36" s="3"/>
      <c r="FR36" s="3"/>
      <c r="FS36" s="3"/>
      <c r="FT36" s="3"/>
      <c r="FU36" s="3"/>
      <c r="FV36" s="3"/>
      <c r="FW36" s="3"/>
      <c r="FX36" s="3"/>
      <c r="FY36" s="3"/>
      <c r="FZ36" s="3"/>
      <c r="GA36" s="3"/>
      <c r="GB36" s="3"/>
      <c r="GC36" s="3"/>
      <c r="GD36" s="3"/>
      <c r="GE36" s="3"/>
      <c r="GF36" s="3"/>
      <c r="GG36" s="3"/>
      <c r="GH36" s="3"/>
      <c r="GI36" s="3"/>
      <c r="GJ36" s="3"/>
      <c r="GK36" s="3"/>
      <c r="GL36" s="3"/>
      <c r="GM36" s="3"/>
      <c r="GN36" s="3"/>
      <c r="GO36" s="3"/>
      <c r="GP36" s="3"/>
      <c r="GQ36" s="3"/>
      <c r="GR36" s="3"/>
      <c r="GS36" s="3"/>
      <c r="GT36" s="3"/>
      <c r="GU36" s="3"/>
      <c r="GV36" s="3"/>
      <c r="GW36" s="3"/>
      <c r="GX36" s="3"/>
      <c r="GY36" s="3"/>
      <c r="GZ36" s="3"/>
      <c r="HA36" s="3"/>
      <c r="HB36" s="3"/>
      <c r="HC36" s="3"/>
      <c r="HD36" s="3"/>
      <c r="HE36" s="3"/>
      <c r="HF36" s="3"/>
      <c r="HG36" s="3"/>
      <c r="HH36" s="3"/>
      <c r="HI36" s="3"/>
      <c r="HJ36" s="3"/>
      <c r="HK36" s="3"/>
      <c r="HL36" s="3"/>
      <c r="HM36" s="3"/>
      <c r="HN36" s="3"/>
      <c r="HO36" s="3"/>
      <c r="HP36" s="3"/>
      <c r="HQ36" s="3"/>
      <c r="HR36" s="3"/>
      <c r="HS36" s="3"/>
      <c r="HT36" s="3"/>
      <c r="HU36" s="3"/>
      <c r="HV36" s="3"/>
      <c r="HW36" s="3"/>
      <c r="HX36" s="3"/>
      <c r="HY36" s="3"/>
      <c r="HZ36" s="3"/>
      <c r="IA36" s="3"/>
      <c r="IB36" s="3"/>
      <c r="IC36" s="3"/>
      <c r="ID36" s="3"/>
      <c r="IE36" s="3"/>
      <c r="IF36" s="3"/>
      <c r="IG36" s="3"/>
      <c r="IH36" s="3"/>
      <c r="II36" s="3"/>
      <c r="IJ36" s="3"/>
      <c r="IK36" s="3"/>
      <c r="IL36" s="3"/>
      <c r="IM36" s="3"/>
      <c r="IN36" s="3"/>
      <c r="IO36" s="3"/>
      <c r="IP36" s="3"/>
      <c r="IQ36" s="3"/>
      <c r="IR36" s="3"/>
      <c r="IS36" s="3"/>
      <c r="IT36" s="3"/>
    </row>
    <row r="37" spans="1:254" ht="14.5" customHeight="1" x14ac:dyDescent="0.2">
      <c r="A37" s="5" t="s">
        <v>15</v>
      </c>
      <c r="B37" s="30">
        <v>2020</v>
      </c>
      <c r="C37" s="33">
        <v>2974.0610000000001</v>
      </c>
      <c r="D37" s="30">
        <v>940000</v>
      </c>
      <c r="E37" s="30">
        <v>1010000</v>
      </c>
      <c r="F37" s="30" t="s">
        <v>9</v>
      </c>
      <c r="G37" s="35" t="s">
        <v>9</v>
      </c>
      <c r="H37" s="63"/>
      <c r="I37" s="16"/>
      <c r="J37" s="18"/>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c r="CO37" s="3"/>
      <c r="CP37" s="3"/>
      <c r="CQ37" s="3"/>
      <c r="CR37" s="3"/>
      <c r="CS37" s="3"/>
      <c r="CT37" s="3"/>
      <c r="CU37" s="3"/>
      <c r="CV37" s="3"/>
      <c r="CW37" s="3"/>
      <c r="CX37" s="3"/>
      <c r="CY37" s="3"/>
      <c r="CZ37" s="3"/>
      <c r="DA37" s="3"/>
      <c r="DB37" s="3"/>
      <c r="DC37" s="3"/>
      <c r="DD37" s="3"/>
      <c r="DE37" s="3"/>
      <c r="DF37" s="3"/>
      <c r="DG37" s="3"/>
      <c r="DH37" s="3"/>
      <c r="DI37" s="3"/>
      <c r="DJ37" s="3"/>
      <c r="DK37" s="3"/>
      <c r="DL37" s="3"/>
      <c r="DM37" s="3"/>
      <c r="DN37" s="3"/>
      <c r="DO37" s="3"/>
      <c r="DP37" s="3"/>
      <c r="DQ37" s="3"/>
      <c r="DR37" s="3"/>
      <c r="DS37" s="3"/>
      <c r="DT37" s="3"/>
      <c r="DU37" s="3"/>
      <c r="DV37" s="3"/>
      <c r="DW37" s="3"/>
      <c r="DX37" s="3"/>
      <c r="DY37" s="3"/>
      <c r="DZ37" s="3"/>
      <c r="EA37" s="3"/>
      <c r="EB37" s="3"/>
      <c r="EC37" s="3"/>
      <c r="ED37" s="3"/>
      <c r="EE37" s="3"/>
      <c r="EF37" s="3"/>
      <c r="EG37" s="3"/>
      <c r="EH37" s="3"/>
      <c r="EI37" s="3"/>
      <c r="EJ37" s="3"/>
      <c r="EK37" s="3"/>
      <c r="EL37" s="3"/>
      <c r="EM37" s="3"/>
      <c r="EN37" s="3"/>
      <c r="EO37" s="3"/>
      <c r="EP37" s="3"/>
      <c r="EQ37" s="3"/>
      <c r="ER37" s="3"/>
      <c r="ES37" s="3"/>
      <c r="ET37" s="3"/>
      <c r="EU37" s="3"/>
      <c r="EV37" s="3"/>
      <c r="EW37" s="3"/>
      <c r="EX37" s="3"/>
      <c r="EY37" s="3"/>
      <c r="EZ37" s="3"/>
      <c r="FA37" s="3"/>
      <c r="FB37" s="3"/>
      <c r="FC37" s="3"/>
      <c r="FD37" s="3"/>
      <c r="FE37" s="3"/>
      <c r="FF37" s="3"/>
      <c r="FG37" s="3"/>
      <c r="FH37" s="3"/>
      <c r="FI37" s="3"/>
      <c r="FJ37" s="3"/>
      <c r="FK37" s="3"/>
      <c r="FL37" s="3"/>
      <c r="FM37" s="3"/>
      <c r="FN37" s="3"/>
      <c r="FO37" s="3"/>
      <c r="FP37" s="3"/>
      <c r="FQ37" s="3"/>
      <c r="FR37" s="3"/>
      <c r="FS37" s="3"/>
      <c r="FT37" s="3"/>
      <c r="FU37" s="3"/>
      <c r="FV37" s="3"/>
      <c r="FW37" s="3"/>
      <c r="FX37" s="3"/>
      <c r="FY37" s="3"/>
      <c r="FZ37" s="3"/>
      <c r="GA37" s="3"/>
      <c r="GB37" s="3"/>
      <c r="GC37" s="3"/>
      <c r="GD37" s="3"/>
      <c r="GE37" s="3"/>
      <c r="GF37" s="3"/>
      <c r="GG37" s="3"/>
      <c r="GH37" s="3"/>
      <c r="GI37" s="3"/>
      <c r="GJ37" s="3"/>
      <c r="GK37" s="3"/>
      <c r="GL37" s="3"/>
      <c r="GM37" s="3"/>
      <c r="GN37" s="3"/>
      <c r="GO37" s="3"/>
      <c r="GP37" s="3"/>
      <c r="GQ37" s="3"/>
      <c r="GR37" s="3"/>
      <c r="GS37" s="3"/>
      <c r="GT37" s="3"/>
      <c r="GU37" s="3"/>
      <c r="GV37" s="3"/>
      <c r="GW37" s="3"/>
      <c r="GX37" s="3"/>
      <c r="GY37" s="3"/>
      <c r="GZ37" s="3"/>
      <c r="HA37" s="3"/>
      <c r="HB37" s="3"/>
      <c r="HC37" s="3"/>
      <c r="HD37" s="3"/>
      <c r="HE37" s="3"/>
      <c r="HF37" s="3"/>
      <c r="HG37" s="3"/>
      <c r="HH37" s="3"/>
      <c r="HI37" s="3"/>
      <c r="HJ37" s="3"/>
      <c r="HK37" s="3"/>
      <c r="HL37" s="3"/>
      <c r="HM37" s="3"/>
      <c r="HN37" s="3"/>
      <c r="HO37" s="3"/>
      <c r="HP37" s="3"/>
      <c r="HQ37" s="3"/>
      <c r="HR37" s="3"/>
      <c r="HS37" s="3"/>
      <c r="HT37" s="3"/>
      <c r="HU37" s="3"/>
      <c r="HV37" s="3"/>
      <c r="HW37" s="3"/>
      <c r="HX37" s="3"/>
      <c r="HY37" s="3"/>
      <c r="HZ37" s="3"/>
      <c r="IA37" s="3"/>
      <c r="IB37" s="3"/>
      <c r="IC37" s="3"/>
      <c r="ID37" s="3"/>
      <c r="IE37" s="3"/>
      <c r="IF37" s="3"/>
      <c r="IG37" s="3"/>
      <c r="IH37" s="3"/>
      <c r="II37" s="3"/>
      <c r="IJ37" s="3"/>
      <c r="IK37" s="3"/>
      <c r="IL37" s="3"/>
      <c r="IM37" s="3"/>
      <c r="IN37" s="3"/>
      <c r="IO37" s="3"/>
      <c r="IP37" s="3"/>
      <c r="IQ37" s="3"/>
      <c r="IR37" s="3"/>
      <c r="IS37" s="3"/>
      <c r="IT37" s="3"/>
    </row>
    <row r="38" spans="1:254" ht="15" customHeight="1" x14ac:dyDescent="0.2">
      <c r="A38" s="5" t="s">
        <v>15</v>
      </c>
      <c r="B38" s="30">
        <v>2021</v>
      </c>
      <c r="C38" s="33">
        <v>3185.6640000000002</v>
      </c>
      <c r="D38" s="30">
        <v>1040000</v>
      </c>
      <c r="E38" s="30">
        <v>1040000</v>
      </c>
      <c r="F38" s="30" t="s">
        <v>9</v>
      </c>
      <c r="G38" s="35" t="s">
        <v>9</v>
      </c>
      <c r="H38" s="63"/>
      <c r="I38" s="16"/>
      <c r="J38" s="18"/>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c r="CO38" s="3"/>
      <c r="CP38" s="3"/>
      <c r="CQ38" s="3"/>
      <c r="CR38" s="3"/>
      <c r="CS38" s="3"/>
      <c r="CT38" s="3"/>
      <c r="CU38" s="3"/>
      <c r="CV38" s="3"/>
      <c r="CW38" s="3"/>
      <c r="CX38" s="3"/>
      <c r="CY38" s="3"/>
      <c r="CZ38" s="3"/>
      <c r="DA38" s="3"/>
      <c r="DB38" s="3"/>
      <c r="DC38" s="3"/>
      <c r="DD38" s="3"/>
      <c r="DE38" s="3"/>
      <c r="DF38" s="3"/>
      <c r="DG38" s="3"/>
      <c r="DH38" s="3"/>
      <c r="DI38" s="3"/>
      <c r="DJ38" s="3"/>
      <c r="DK38" s="3"/>
      <c r="DL38" s="3"/>
      <c r="DM38" s="3"/>
      <c r="DN38" s="3"/>
      <c r="DO38" s="3"/>
      <c r="DP38" s="3"/>
      <c r="DQ38" s="3"/>
      <c r="DR38" s="3"/>
      <c r="DS38" s="3"/>
      <c r="DT38" s="3"/>
      <c r="DU38" s="3"/>
      <c r="DV38" s="3"/>
      <c r="DW38" s="3"/>
      <c r="DX38" s="3"/>
      <c r="DY38" s="3"/>
      <c r="DZ38" s="3"/>
      <c r="EA38" s="3"/>
      <c r="EB38" s="3"/>
      <c r="EC38" s="3"/>
      <c r="ED38" s="3"/>
      <c r="EE38" s="3"/>
      <c r="EF38" s="3"/>
      <c r="EG38" s="3"/>
      <c r="EH38" s="3"/>
      <c r="EI38" s="3"/>
      <c r="EJ38" s="3"/>
      <c r="EK38" s="3"/>
      <c r="EL38" s="3"/>
      <c r="EM38" s="3"/>
      <c r="EN38" s="3"/>
      <c r="EO38" s="3"/>
      <c r="EP38" s="3"/>
      <c r="EQ38" s="3"/>
      <c r="ER38" s="3"/>
      <c r="ES38" s="3"/>
      <c r="ET38" s="3"/>
      <c r="EU38" s="3"/>
      <c r="EV38" s="3"/>
      <c r="EW38" s="3"/>
      <c r="EX38" s="3"/>
      <c r="EY38" s="3"/>
      <c r="EZ38" s="3"/>
      <c r="FA38" s="3"/>
      <c r="FB38" s="3"/>
      <c r="FC38" s="3"/>
      <c r="FD38" s="3"/>
      <c r="FE38" s="3"/>
      <c r="FF38" s="3"/>
      <c r="FG38" s="3"/>
      <c r="FH38" s="3"/>
      <c r="FI38" s="3"/>
      <c r="FJ38" s="3"/>
      <c r="FK38" s="3"/>
      <c r="FL38" s="3"/>
      <c r="FM38" s="3"/>
      <c r="FN38" s="3"/>
      <c r="FO38" s="3"/>
      <c r="FP38" s="3"/>
      <c r="FQ38" s="3"/>
      <c r="FR38" s="3"/>
      <c r="FS38" s="3"/>
      <c r="FT38" s="3"/>
      <c r="FU38" s="3"/>
      <c r="FV38" s="3"/>
      <c r="FW38" s="3"/>
      <c r="FX38" s="3"/>
      <c r="FY38" s="3"/>
      <c r="FZ38" s="3"/>
      <c r="GA38" s="3"/>
      <c r="GB38" s="3"/>
      <c r="GC38" s="3"/>
      <c r="GD38" s="3"/>
      <c r="GE38" s="3"/>
      <c r="GF38" s="3"/>
      <c r="GG38" s="3"/>
      <c r="GH38" s="3"/>
      <c r="GI38" s="3"/>
      <c r="GJ38" s="3"/>
      <c r="GK38" s="3"/>
      <c r="GL38" s="3"/>
      <c r="GM38" s="3"/>
      <c r="GN38" s="3"/>
      <c r="GO38" s="3"/>
      <c r="GP38" s="3"/>
      <c r="GQ38" s="3"/>
      <c r="GR38" s="3"/>
      <c r="GS38" s="3"/>
      <c r="GT38" s="3"/>
      <c r="GU38" s="3"/>
      <c r="GV38" s="3"/>
      <c r="GW38" s="3"/>
      <c r="GX38" s="3"/>
      <c r="GY38" s="3"/>
      <c r="GZ38" s="3"/>
      <c r="HA38" s="3"/>
      <c r="HB38" s="3"/>
      <c r="HC38" s="3"/>
      <c r="HD38" s="3"/>
      <c r="HE38" s="3"/>
      <c r="HF38" s="3"/>
      <c r="HG38" s="3"/>
      <c r="HH38" s="3"/>
      <c r="HI38" s="3"/>
      <c r="HJ38" s="3"/>
      <c r="HK38" s="3"/>
      <c r="HL38" s="3"/>
      <c r="HM38" s="3"/>
      <c r="HN38" s="3"/>
      <c r="HO38" s="3"/>
      <c r="HP38" s="3"/>
      <c r="HQ38" s="3"/>
      <c r="HR38" s="3"/>
      <c r="HS38" s="3"/>
      <c r="HT38" s="3"/>
      <c r="HU38" s="3"/>
      <c r="HV38" s="3"/>
      <c r="HW38" s="3"/>
      <c r="HX38" s="3"/>
      <c r="HY38" s="3"/>
      <c r="HZ38" s="3"/>
      <c r="IA38" s="3"/>
      <c r="IB38" s="3"/>
      <c r="IC38" s="3"/>
      <c r="ID38" s="3"/>
      <c r="IE38" s="3"/>
      <c r="IF38" s="3"/>
      <c r="IG38" s="3"/>
      <c r="IH38" s="3"/>
      <c r="II38" s="3"/>
      <c r="IJ38" s="3"/>
      <c r="IK38" s="3"/>
      <c r="IL38" s="3"/>
      <c r="IM38" s="3"/>
      <c r="IN38" s="3"/>
      <c r="IO38" s="3"/>
      <c r="IP38" s="3"/>
      <c r="IQ38" s="3"/>
      <c r="IR38" s="3"/>
      <c r="IS38" s="3"/>
      <c r="IT38" s="3"/>
    </row>
    <row r="39" spans="1:254" ht="14.5" customHeight="1" x14ac:dyDescent="0.2">
      <c r="A39" s="5" t="s">
        <v>15</v>
      </c>
      <c r="B39" s="30">
        <v>2022</v>
      </c>
      <c r="C39" s="33">
        <v>3746.7550000000001</v>
      </c>
      <c r="D39" s="30">
        <v>1110000</v>
      </c>
      <c r="E39" s="30">
        <v>1060000</v>
      </c>
      <c r="F39" s="30">
        <v>1380000</v>
      </c>
      <c r="G39" s="35" t="s">
        <v>9</v>
      </c>
      <c r="H39" s="63"/>
      <c r="I39" s="16"/>
      <c r="J39" s="18"/>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c r="CO39" s="3"/>
      <c r="CP39" s="3"/>
      <c r="CQ39" s="3"/>
      <c r="CR39" s="3"/>
      <c r="CS39" s="3"/>
      <c r="CT39" s="3"/>
      <c r="CU39" s="3"/>
      <c r="CV39" s="3"/>
      <c r="CW39" s="3"/>
      <c r="CX39" s="3"/>
      <c r="CY39" s="3"/>
      <c r="CZ39" s="3"/>
      <c r="DA39" s="3"/>
      <c r="DB39" s="3"/>
      <c r="DC39" s="3"/>
      <c r="DD39" s="3"/>
      <c r="DE39" s="3"/>
      <c r="DF39" s="3"/>
      <c r="DG39" s="3"/>
      <c r="DH39" s="3"/>
      <c r="DI39" s="3"/>
      <c r="DJ39" s="3"/>
      <c r="DK39" s="3"/>
      <c r="DL39" s="3"/>
      <c r="DM39" s="3"/>
      <c r="DN39" s="3"/>
      <c r="DO39" s="3"/>
      <c r="DP39" s="3"/>
      <c r="DQ39" s="3"/>
      <c r="DR39" s="3"/>
      <c r="DS39" s="3"/>
      <c r="DT39" s="3"/>
      <c r="DU39" s="3"/>
      <c r="DV39" s="3"/>
      <c r="DW39" s="3"/>
      <c r="DX39" s="3"/>
      <c r="DY39" s="3"/>
      <c r="DZ39" s="3"/>
      <c r="EA39" s="3"/>
      <c r="EB39" s="3"/>
      <c r="EC39" s="3"/>
      <c r="ED39" s="3"/>
      <c r="EE39" s="3"/>
      <c r="EF39" s="3"/>
      <c r="EG39" s="3"/>
      <c r="EH39" s="3"/>
      <c r="EI39" s="3"/>
      <c r="EJ39" s="3"/>
      <c r="EK39" s="3"/>
      <c r="EL39" s="3"/>
      <c r="EM39" s="3"/>
      <c r="EN39" s="3"/>
      <c r="EO39" s="3"/>
      <c r="EP39" s="3"/>
      <c r="EQ39" s="3"/>
      <c r="ER39" s="3"/>
      <c r="ES39" s="3"/>
      <c r="ET39" s="3"/>
      <c r="EU39" s="3"/>
      <c r="EV39" s="3"/>
      <c r="EW39" s="3"/>
      <c r="EX39" s="3"/>
      <c r="EY39" s="3"/>
      <c r="EZ39" s="3"/>
      <c r="FA39" s="3"/>
      <c r="FB39" s="3"/>
      <c r="FC39" s="3"/>
      <c r="FD39" s="3"/>
      <c r="FE39" s="3"/>
      <c r="FF39" s="3"/>
      <c r="FG39" s="3"/>
      <c r="FH39" s="3"/>
      <c r="FI39" s="3"/>
      <c r="FJ39" s="3"/>
      <c r="FK39" s="3"/>
      <c r="FL39" s="3"/>
      <c r="FM39" s="3"/>
      <c r="FN39" s="3"/>
      <c r="FO39" s="3"/>
      <c r="FP39" s="3"/>
      <c r="FQ39" s="3"/>
      <c r="FR39" s="3"/>
      <c r="FS39" s="3"/>
      <c r="FT39" s="3"/>
      <c r="FU39" s="3"/>
      <c r="FV39" s="3"/>
      <c r="FW39" s="3"/>
      <c r="FX39" s="3"/>
      <c r="FY39" s="3"/>
      <c r="FZ39" s="3"/>
      <c r="GA39" s="3"/>
      <c r="GB39" s="3"/>
      <c r="GC39" s="3"/>
      <c r="GD39" s="3"/>
      <c r="GE39" s="3"/>
      <c r="GF39" s="3"/>
      <c r="GG39" s="3"/>
      <c r="GH39" s="3"/>
      <c r="GI39" s="3"/>
      <c r="GJ39" s="3"/>
      <c r="GK39" s="3"/>
      <c r="GL39" s="3"/>
      <c r="GM39" s="3"/>
      <c r="GN39" s="3"/>
      <c r="GO39" s="3"/>
      <c r="GP39" s="3"/>
      <c r="GQ39" s="3"/>
      <c r="GR39" s="3"/>
      <c r="GS39" s="3"/>
      <c r="GT39" s="3"/>
      <c r="GU39" s="3"/>
      <c r="GV39" s="3"/>
      <c r="GW39" s="3"/>
      <c r="GX39" s="3"/>
      <c r="GY39" s="3"/>
      <c r="GZ39" s="3"/>
      <c r="HA39" s="3"/>
      <c r="HB39" s="3"/>
      <c r="HC39" s="3"/>
      <c r="HD39" s="3"/>
      <c r="HE39" s="3"/>
      <c r="HF39" s="3"/>
      <c r="HG39" s="3"/>
      <c r="HH39" s="3"/>
      <c r="HI39" s="3"/>
      <c r="HJ39" s="3"/>
      <c r="HK39" s="3"/>
      <c r="HL39" s="3"/>
      <c r="HM39" s="3"/>
      <c r="HN39" s="3"/>
      <c r="HO39" s="3"/>
      <c r="HP39" s="3"/>
      <c r="HQ39" s="3"/>
      <c r="HR39" s="3"/>
      <c r="HS39" s="3"/>
      <c r="HT39" s="3"/>
      <c r="HU39" s="3"/>
      <c r="HV39" s="3"/>
      <c r="HW39" s="3"/>
      <c r="HX39" s="3"/>
      <c r="HY39" s="3"/>
      <c r="HZ39" s="3"/>
      <c r="IA39" s="3"/>
      <c r="IB39" s="3"/>
      <c r="IC39" s="3"/>
      <c r="ID39" s="3"/>
      <c r="IE39" s="3"/>
      <c r="IF39" s="3"/>
      <c r="IG39" s="3"/>
      <c r="IH39" s="3"/>
      <c r="II39" s="3"/>
      <c r="IJ39" s="3"/>
      <c r="IK39" s="3"/>
      <c r="IL39" s="3"/>
      <c r="IM39" s="3"/>
      <c r="IN39" s="3"/>
      <c r="IO39" s="3"/>
      <c r="IP39" s="3"/>
      <c r="IQ39" s="3"/>
      <c r="IR39" s="3"/>
      <c r="IS39" s="3"/>
      <c r="IT39" s="3"/>
    </row>
    <row r="40" spans="1:254" ht="14.5" customHeight="1" x14ac:dyDescent="0.2">
      <c r="A40" s="5" t="s">
        <v>15</v>
      </c>
      <c r="B40" s="30">
        <v>2023</v>
      </c>
      <c r="C40" s="33">
        <v>3891.6570000000002</v>
      </c>
      <c r="D40" s="30">
        <v>1120000</v>
      </c>
      <c r="E40" s="30">
        <v>1100000</v>
      </c>
      <c r="F40" s="30">
        <v>1390000</v>
      </c>
      <c r="G40" s="35">
        <v>3150000</v>
      </c>
      <c r="H40" s="63"/>
      <c r="I40" s="16"/>
      <c r="J40" s="18"/>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c r="CO40" s="3"/>
      <c r="CP40" s="3"/>
      <c r="CQ40" s="3"/>
      <c r="CR40" s="3"/>
      <c r="CS40" s="3"/>
      <c r="CT40" s="3"/>
      <c r="CU40" s="3"/>
      <c r="CV40" s="3"/>
      <c r="CW40" s="3"/>
      <c r="CX40" s="3"/>
      <c r="CY40" s="3"/>
      <c r="CZ40" s="3"/>
      <c r="DA40" s="3"/>
      <c r="DB40" s="3"/>
      <c r="DC40" s="3"/>
      <c r="DD40" s="3"/>
      <c r="DE40" s="3"/>
      <c r="DF40" s="3"/>
      <c r="DG40" s="3"/>
      <c r="DH40" s="3"/>
      <c r="DI40" s="3"/>
      <c r="DJ40" s="3"/>
      <c r="DK40" s="3"/>
      <c r="DL40" s="3"/>
      <c r="DM40" s="3"/>
      <c r="DN40" s="3"/>
      <c r="DO40" s="3"/>
      <c r="DP40" s="3"/>
      <c r="DQ40" s="3"/>
      <c r="DR40" s="3"/>
      <c r="DS40" s="3"/>
      <c r="DT40" s="3"/>
      <c r="DU40" s="3"/>
      <c r="DV40" s="3"/>
      <c r="DW40" s="3"/>
      <c r="DX40" s="3"/>
      <c r="DY40" s="3"/>
      <c r="DZ40" s="3"/>
      <c r="EA40" s="3"/>
      <c r="EB40" s="3"/>
      <c r="EC40" s="3"/>
      <c r="ED40" s="3"/>
      <c r="EE40" s="3"/>
      <c r="EF40" s="3"/>
      <c r="EG40" s="3"/>
      <c r="EH40" s="3"/>
      <c r="EI40" s="3"/>
      <c r="EJ40" s="3"/>
      <c r="EK40" s="3"/>
      <c r="EL40" s="3"/>
      <c r="EM40" s="3"/>
      <c r="EN40" s="3"/>
      <c r="EO40" s="3"/>
      <c r="EP40" s="3"/>
      <c r="EQ40" s="3"/>
      <c r="ER40" s="3"/>
      <c r="ES40" s="3"/>
      <c r="ET40" s="3"/>
      <c r="EU40" s="3"/>
      <c r="EV40" s="3"/>
      <c r="EW40" s="3"/>
      <c r="EX40" s="3"/>
      <c r="EY40" s="3"/>
      <c r="EZ40" s="3"/>
      <c r="FA40" s="3"/>
      <c r="FB40" s="3"/>
      <c r="FC40" s="3"/>
      <c r="FD40" s="3"/>
      <c r="FE40" s="3"/>
      <c r="FF40" s="3"/>
      <c r="FG40" s="3"/>
      <c r="FH40" s="3"/>
      <c r="FI40" s="3"/>
      <c r="FJ40" s="3"/>
      <c r="FK40" s="3"/>
      <c r="FL40" s="3"/>
      <c r="FM40" s="3"/>
      <c r="FN40" s="3"/>
      <c r="FO40" s="3"/>
      <c r="FP40" s="3"/>
      <c r="FQ40" s="3"/>
      <c r="FR40" s="3"/>
      <c r="FS40" s="3"/>
      <c r="FT40" s="3"/>
      <c r="FU40" s="3"/>
      <c r="FV40" s="3"/>
      <c r="FW40" s="3"/>
      <c r="FX40" s="3"/>
      <c r="FY40" s="3"/>
      <c r="FZ40" s="3"/>
      <c r="GA40" s="3"/>
      <c r="GB40" s="3"/>
      <c r="GC40" s="3"/>
      <c r="GD40" s="3"/>
      <c r="GE40" s="3"/>
      <c r="GF40" s="3"/>
      <c r="GG40" s="3"/>
      <c r="GH40" s="3"/>
      <c r="GI40" s="3"/>
      <c r="GJ40" s="3"/>
      <c r="GK40" s="3"/>
      <c r="GL40" s="3"/>
      <c r="GM40" s="3"/>
      <c r="GN40" s="3"/>
      <c r="GO40" s="3"/>
      <c r="GP40" s="3"/>
      <c r="GQ40" s="3"/>
      <c r="GR40" s="3"/>
      <c r="GS40" s="3"/>
      <c r="GT40" s="3"/>
      <c r="GU40" s="3"/>
      <c r="GV40" s="3"/>
      <c r="GW40" s="3"/>
      <c r="GX40" s="3"/>
      <c r="GY40" s="3"/>
      <c r="GZ40" s="3"/>
      <c r="HA40" s="3"/>
      <c r="HB40" s="3"/>
      <c r="HC40" s="3"/>
      <c r="HD40" s="3"/>
      <c r="HE40" s="3"/>
      <c r="HF40" s="3"/>
      <c r="HG40" s="3"/>
      <c r="HH40" s="3"/>
      <c r="HI40" s="3"/>
      <c r="HJ40" s="3"/>
      <c r="HK40" s="3"/>
      <c r="HL40" s="3"/>
      <c r="HM40" s="3"/>
      <c r="HN40" s="3"/>
      <c r="HO40" s="3"/>
      <c r="HP40" s="3"/>
      <c r="HQ40" s="3"/>
      <c r="HR40" s="3"/>
      <c r="HS40" s="3"/>
      <c r="HT40" s="3"/>
      <c r="HU40" s="3"/>
      <c r="HV40" s="3"/>
      <c r="HW40" s="3"/>
      <c r="HX40" s="3"/>
      <c r="HY40" s="3"/>
      <c r="HZ40" s="3"/>
      <c r="IA40" s="3"/>
      <c r="IB40" s="3"/>
      <c r="IC40" s="3"/>
      <c r="ID40" s="3"/>
      <c r="IE40" s="3"/>
      <c r="IF40" s="3"/>
      <c r="IG40" s="3"/>
      <c r="IH40" s="3"/>
      <c r="II40" s="3"/>
      <c r="IJ40" s="3"/>
      <c r="IK40" s="3"/>
      <c r="IL40" s="3"/>
      <c r="IM40" s="3"/>
      <c r="IN40" s="3"/>
      <c r="IO40" s="3"/>
      <c r="IP40" s="3"/>
      <c r="IQ40" s="3"/>
      <c r="IR40" s="3"/>
      <c r="IS40" s="3"/>
      <c r="IT40" s="3"/>
    </row>
    <row r="41" spans="1:254" ht="14.5" customHeight="1" x14ac:dyDescent="0.2">
      <c r="A41" s="5" t="s">
        <v>15</v>
      </c>
      <c r="B41" s="30">
        <v>2024</v>
      </c>
      <c r="C41" s="33">
        <v>4043</v>
      </c>
      <c r="D41" s="30">
        <v>1010000</v>
      </c>
      <c r="E41" s="30">
        <v>1000000</v>
      </c>
      <c r="F41" s="30">
        <v>1420000</v>
      </c>
      <c r="G41" s="35">
        <v>2450000</v>
      </c>
      <c r="H41" s="63"/>
      <c r="I41" s="16"/>
      <c r="J41" s="18"/>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c r="CO41" s="3"/>
      <c r="CP41" s="3"/>
      <c r="CQ41" s="3"/>
      <c r="CR41" s="3"/>
      <c r="CS41" s="3"/>
      <c r="CT41" s="3"/>
      <c r="CU41" s="3"/>
      <c r="CV41" s="3"/>
      <c r="CW41" s="3"/>
      <c r="CX41" s="3"/>
      <c r="CY41" s="3"/>
      <c r="CZ41" s="3"/>
      <c r="DA41" s="3"/>
      <c r="DB41" s="3"/>
      <c r="DC41" s="3"/>
      <c r="DD41" s="3"/>
      <c r="DE41" s="3"/>
      <c r="DF41" s="3"/>
      <c r="DG41" s="3"/>
      <c r="DH41" s="3"/>
      <c r="DI41" s="3"/>
      <c r="DJ41" s="3"/>
      <c r="DK41" s="3"/>
      <c r="DL41" s="3"/>
      <c r="DM41" s="3"/>
      <c r="DN41" s="3"/>
      <c r="DO41" s="3"/>
      <c r="DP41" s="3"/>
      <c r="DQ41" s="3"/>
      <c r="DR41" s="3"/>
      <c r="DS41" s="3"/>
      <c r="DT41" s="3"/>
      <c r="DU41" s="3"/>
      <c r="DV41" s="3"/>
      <c r="DW41" s="3"/>
      <c r="DX41" s="3"/>
      <c r="DY41" s="3"/>
      <c r="DZ41" s="3"/>
      <c r="EA41" s="3"/>
      <c r="EB41" s="3"/>
      <c r="EC41" s="3"/>
      <c r="ED41" s="3"/>
      <c r="EE41" s="3"/>
      <c r="EF41" s="3"/>
      <c r="EG41" s="3"/>
      <c r="EH41" s="3"/>
      <c r="EI41" s="3"/>
      <c r="EJ41" s="3"/>
      <c r="EK41" s="3"/>
      <c r="EL41" s="3"/>
      <c r="EM41" s="3"/>
      <c r="EN41" s="3"/>
      <c r="EO41" s="3"/>
      <c r="EP41" s="3"/>
      <c r="EQ41" s="3"/>
      <c r="ER41" s="3"/>
      <c r="ES41" s="3"/>
      <c r="ET41" s="3"/>
      <c r="EU41" s="3"/>
      <c r="EV41" s="3"/>
      <c r="EW41" s="3"/>
      <c r="EX41" s="3"/>
      <c r="EY41" s="3"/>
      <c r="EZ41" s="3"/>
      <c r="FA41" s="3"/>
      <c r="FB41" s="3"/>
      <c r="FC41" s="3"/>
      <c r="FD41" s="3"/>
      <c r="FE41" s="3"/>
      <c r="FF41" s="3"/>
      <c r="FG41" s="3"/>
      <c r="FH41" s="3"/>
      <c r="FI41" s="3"/>
      <c r="FJ41" s="3"/>
      <c r="FK41" s="3"/>
      <c r="FL41" s="3"/>
      <c r="FM41" s="3"/>
      <c r="FN41" s="3"/>
      <c r="FO41" s="3"/>
      <c r="FP41" s="3"/>
      <c r="FQ41" s="3"/>
      <c r="FR41" s="3"/>
      <c r="FS41" s="3"/>
      <c r="FT41" s="3"/>
      <c r="FU41" s="3"/>
      <c r="FV41" s="3"/>
      <c r="FW41" s="3"/>
      <c r="FX41" s="3"/>
      <c r="FY41" s="3"/>
      <c r="FZ41" s="3"/>
      <c r="GA41" s="3"/>
      <c r="GB41" s="3"/>
      <c r="GC41" s="3"/>
      <c r="GD41" s="3"/>
      <c r="GE41" s="3"/>
      <c r="GF41" s="3"/>
      <c r="GG41" s="3"/>
      <c r="GH41" s="3"/>
      <c r="GI41" s="3"/>
      <c r="GJ41" s="3"/>
      <c r="GK41" s="3"/>
      <c r="GL41" s="3"/>
      <c r="GM41" s="3"/>
      <c r="GN41" s="3"/>
      <c r="GO41" s="3"/>
      <c r="GP41" s="3"/>
      <c r="GQ41" s="3"/>
      <c r="GR41" s="3"/>
      <c r="GS41" s="3"/>
      <c r="GT41" s="3"/>
      <c r="GU41" s="3"/>
      <c r="GV41" s="3"/>
      <c r="GW41" s="3"/>
      <c r="GX41" s="3"/>
      <c r="GY41" s="3"/>
      <c r="GZ41" s="3"/>
      <c r="HA41" s="3"/>
      <c r="HB41" s="3"/>
      <c r="HC41" s="3"/>
      <c r="HD41" s="3"/>
      <c r="HE41" s="3"/>
      <c r="HF41" s="3"/>
      <c r="HG41" s="3"/>
      <c r="HH41" s="3"/>
      <c r="HI41" s="3"/>
      <c r="HJ41" s="3"/>
      <c r="HK41" s="3"/>
      <c r="HL41" s="3"/>
      <c r="HM41" s="3"/>
      <c r="HN41" s="3"/>
      <c r="HO41" s="3"/>
      <c r="HP41" s="3"/>
      <c r="HQ41" s="3"/>
      <c r="HR41" s="3"/>
      <c r="HS41" s="3"/>
      <c r="HT41" s="3"/>
      <c r="HU41" s="3"/>
      <c r="HV41" s="3"/>
      <c r="HW41" s="3"/>
      <c r="HX41" s="3"/>
      <c r="HY41" s="3"/>
      <c r="HZ41" s="3"/>
      <c r="IA41" s="3"/>
      <c r="IB41" s="3"/>
      <c r="IC41" s="3"/>
      <c r="ID41" s="3"/>
      <c r="IE41" s="3"/>
      <c r="IF41" s="3"/>
      <c r="IG41" s="3"/>
      <c r="IH41" s="3"/>
      <c r="II41" s="3"/>
      <c r="IJ41" s="3"/>
      <c r="IK41" s="3"/>
      <c r="IL41" s="3"/>
      <c r="IM41" s="3"/>
      <c r="IN41" s="3"/>
      <c r="IO41" s="3"/>
      <c r="IP41" s="3"/>
      <c r="IQ41" s="3"/>
      <c r="IR41" s="3"/>
      <c r="IS41" s="3"/>
      <c r="IT41" s="3"/>
    </row>
    <row r="42" spans="1:254" ht="14.5" customHeight="1" x14ac:dyDescent="0.2">
      <c r="A42" s="7" t="s">
        <v>17</v>
      </c>
      <c r="B42" s="31">
        <v>2015</v>
      </c>
      <c r="C42" s="32">
        <v>6515.4870000000001</v>
      </c>
      <c r="D42" s="31">
        <v>1500000</v>
      </c>
      <c r="E42" s="31">
        <v>2700000</v>
      </c>
      <c r="F42" s="31" t="s">
        <v>9</v>
      </c>
      <c r="G42" s="31" t="s">
        <v>9</v>
      </c>
      <c r="H42" s="62" t="s">
        <v>18</v>
      </c>
      <c r="I42" s="16"/>
      <c r="J42" s="18"/>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c r="CO42" s="3"/>
      <c r="CP42" s="3"/>
      <c r="CQ42" s="3"/>
      <c r="CR42" s="3"/>
      <c r="CS42" s="3"/>
      <c r="CT42" s="3"/>
      <c r="CU42" s="3"/>
      <c r="CV42" s="3"/>
      <c r="CW42" s="3"/>
      <c r="CX42" s="3"/>
      <c r="CY42" s="3"/>
      <c r="CZ42" s="3"/>
      <c r="DA42" s="3"/>
      <c r="DB42" s="3"/>
      <c r="DC42" s="3"/>
      <c r="DD42" s="3"/>
      <c r="DE42" s="3"/>
      <c r="DF42" s="3"/>
      <c r="DG42" s="3"/>
      <c r="DH42" s="3"/>
      <c r="DI42" s="3"/>
      <c r="DJ42" s="3"/>
      <c r="DK42" s="3"/>
      <c r="DL42" s="3"/>
      <c r="DM42" s="3"/>
      <c r="DN42" s="3"/>
      <c r="DO42" s="3"/>
      <c r="DP42" s="3"/>
      <c r="DQ42" s="3"/>
      <c r="DR42" s="3"/>
      <c r="DS42" s="3"/>
      <c r="DT42" s="3"/>
      <c r="DU42" s="3"/>
      <c r="DV42" s="3"/>
      <c r="DW42" s="3"/>
      <c r="DX42" s="3"/>
      <c r="DY42" s="3"/>
      <c r="DZ42" s="3"/>
      <c r="EA42" s="3"/>
      <c r="EB42" s="3"/>
      <c r="EC42" s="3"/>
      <c r="ED42" s="3"/>
      <c r="EE42" s="3"/>
      <c r="EF42" s="3"/>
      <c r="EG42" s="3"/>
      <c r="EH42" s="3"/>
      <c r="EI42" s="3"/>
      <c r="EJ42" s="3"/>
      <c r="EK42" s="3"/>
      <c r="EL42" s="3"/>
      <c r="EM42" s="3"/>
      <c r="EN42" s="3"/>
      <c r="EO42" s="3"/>
      <c r="EP42" s="3"/>
      <c r="EQ42" s="3"/>
      <c r="ER42" s="3"/>
      <c r="ES42" s="3"/>
      <c r="ET42" s="3"/>
      <c r="EU42" s="3"/>
      <c r="EV42" s="3"/>
      <c r="EW42" s="3"/>
      <c r="EX42" s="3"/>
      <c r="EY42" s="3"/>
      <c r="EZ42" s="3"/>
      <c r="FA42" s="3"/>
      <c r="FB42" s="3"/>
      <c r="FC42" s="3"/>
      <c r="FD42" s="3"/>
      <c r="FE42" s="3"/>
      <c r="FF42" s="3"/>
      <c r="FG42" s="3"/>
      <c r="FH42" s="3"/>
      <c r="FI42" s="3"/>
      <c r="FJ42" s="3"/>
      <c r="FK42" s="3"/>
      <c r="FL42" s="3"/>
      <c r="FM42" s="3"/>
      <c r="FN42" s="3"/>
      <c r="FO42" s="3"/>
      <c r="FP42" s="3"/>
      <c r="FQ42" s="3"/>
      <c r="FR42" s="3"/>
      <c r="FS42" s="3"/>
      <c r="FT42" s="3"/>
      <c r="FU42" s="3"/>
      <c r="FV42" s="3"/>
      <c r="FW42" s="3"/>
      <c r="FX42" s="3"/>
      <c r="FY42" s="3"/>
      <c r="FZ42" s="3"/>
      <c r="GA42" s="3"/>
      <c r="GB42" s="3"/>
      <c r="GC42" s="3"/>
      <c r="GD42" s="3"/>
      <c r="GE42" s="3"/>
      <c r="GF42" s="3"/>
      <c r="GG42" s="3"/>
      <c r="GH42" s="3"/>
      <c r="GI42" s="3"/>
      <c r="GJ42" s="3"/>
      <c r="GK42" s="3"/>
      <c r="GL42" s="3"/>
      <c r="GM42" s="3"/>
      <c r="GN42" s="3"/>
      <c r="GO42" s="3"/>
      <c r="GP42" s="3"/>
      <c r="GQ42" s="3"/>
      <c r="GR42" s="3"/>
      <c r="GS42" s="3"/>
      <c r="GT42" s="3"/>
      <c r="GU42" s="3"/>
      <c r="GV42" s="3"/>
      <c r="GW42" s="3"/>
      <c r="GX42" s="3"/>
      <c r="GY42" s="3"/>
      <c r="GZ42" s="3"/>
      <c r="HA42" s="3"/>
      <c r="HB42" s="3"/>
      <c r="HC42" s="3"/>
      <c r="HD42" s="3"/>
      <c r="HE42" s="3"/>
      <c r="HF42" s="3"/>
      <c r="HG42" s="3"/>
      <c r="HH42" s="3"/>
      <c r="HI42" s="3"/>
      <c r="HJ42" s="3"/>
      <c r="HK42" s="3"/>
      <c r="HL42" s="3"/>
      <c r="HM42" s="3"/>
      <c r="HN42" s="3"/>
      <c r="HO42" s="3"/>
      <c r="HP42" s="3"/>
      <c r="HQ42" s="3"/>
      <c r="HR42" s="3"/>
      <c r="HS42" s="3"/>
      <c r="HT42" s="3"/>
      <c r="HU42" s="3"/>
      <c r="HV42" s="3"/>
      <c r="HW42" s="3"/>
      <c r="HX42" s="3"/>
      <c r="HY42" s="3"/>
      <c r="HZ42" s="3"/>
      <c r="IA42" s="3"/>
      <c r="IB42" s="3"/>
      <c r="IC42" s="3"/>
      <c r="ID42" s="3"/>
      <c r="IE42" s="3"/>
      <c r="IF42" s="3"/>
      <c r="IG42" s="3"/>
      <c r="IH42" s="3"/>
      <c r="II42" s="3"/>
      <c r="IJ42" s="3"/>
      <c r="IK42" s="3"/>
      <c r="IL42" s="3"/>
      <c r="IM42" s="3"/>
      <c r="IN42" s="3"/>
      <c r="IO42" s="3"/>
      <c r="IP42" s="3"/>
      <c r="IQ42" s="3"/>
      <c r="IR42" s="3"/>
      <c r="IS42" s="3"/>
      <c r="IT42" s="3"/>
    </row>
    <row r="43" spans="1:254" ht="14.5" customHeight="1" x14ac:dyDescent="0.2">
      <c r="A43" s="5" t="s">
        <v>17</v>
      </c>
      <c r="B43" s="30">
        <v>2016</v>
      </c>
      <c r="C43" s="33">
        <v>7398.4589999999998</v>
      </c>
      <c r="D43" s="30">
        <v>2600000</v>
      </c>
      <c r="E43" s="30">
        <v>3100000</v>
      </c>
      <c r="F43" s="30" t="s">
        <v>9</v>
      </c>
      <c r="G43" s="30">
        <v>769600</v>
      </c>
      <c r="H43" s="63"/>
      <c r="I43" s="16"/>
      <c r="J43" s="18"/>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c r="CO43" s="3"/>
      <c r="CP43" s="3"/>
      <c r="CQ43" s="3"/>
      <c r="CR43" s="3"/>
      <c r="CS43" s="3"/>
      <c r="CT43" s="3"/>
      <c r="CU43" s="3"/>
      <c r="CV43" s="3"/>
      <c r="CW43" s="3"/>
      <c r="CX43" s="3"/>
      <c r="CY43" s="3"/>
      <c r="CZ43" s="3"/>
      <c r="DA43" s="3"/>
      <c r="DB43" s="3"/>
      <c r="DC43" s="3"/>
      <c r="DD43" s="3"/>
      <c r="DE43" s="3"/>
      <c r="DF43" s="3"/>
      <c r="DG43" s="3"/>
      <c r="DH43" s="3"/>
      <c r="DI43" s="3"/>
      <c r="DJ43" s="3"/>
      <c r="DK43" s="3"/>
      <c r="DL43" s="3"/>
      <c r="DM43" s="3"/>
      <c r="DN43" s="3"/>
      <c r="DO43" s="3"/>
      <c r="DP43" s="3"/>
      <c r="DQ43" s="3"/>
      <c r="DR43" s="3"/>
      <c r="DS43" s="3"/>
      <c r="DT43" s="3"/>
      <c r="DU43" s="3"/>
      <c r="DV43" s="3"/>
      <c r="DW43" s="3"/>
      <c r="DX43" s="3"/>
      <c r="DY43" s="3"/>
      <c r="DZ43" s="3"/>
      <c r="EA43" s="3"/>
      <c r="EB43" s="3"/>
      <c r="EC43" s="3"/>
      <c r="ED43" s="3"/>
      <c r="EE43" s="3"/>
      <c r="EF43" s="3"/>
      <c r="EG43" s="3"/>
      <c r="EH43" s="3"/>
      <c r="EI43" s="3"/>
      <c r="EJ43" s="3"/>
      <c r="EK43" s="3"/>
      <c r="EL43" s="3"/>
      <c r="EM43" s="3"/>
      <c r="EN43" s="3"/>
      <c r="EO43" s="3"/>
      <c r="EP43" s="3"/>
      <c r="EQ43" s="3"/>
      <c r="ER43" s="3"/>
      <c r="ES43" s="3"/>
      <c r="ET43" s="3"/>
      <c r="EU43" s="3"/>
      <c r="EV43" s="3"/>
      <c r="EW43" s="3"/>
      <c r="EX43" s="3"/>
      <c r="EY43" s="3"/>
      <c r="EZ43" s="3"/>
      <c r="FA43" s="3"/>
      <c r="FB43" s="3"/>
      <c r="FC43" s="3"/>
      <c r="FD43" s="3"/>
      <c r="FE43" s="3"/>
      <c r="FF43" s="3"/>
      <c r="FG43" s="3"/>
      <c r="FH43" s="3"/>
      <c r="FI43" s="3"/>
      <c r="FJ43" s="3"/>
      <c r="FK43" s="3"/>
      <c r="FL43" s="3"/>
      <c r="FM43" s="3"/>
      <c r="FN43" s="3"/>
      <c r="FO43" s="3"/>
      <c r="FP43" s="3"/>
      <c r="FQ43" s="3"/>
      <c r="FR43" s="3"/>
      <c r="FS43" s="3"/>
      <c r="FT43" s="3"/>
      <c r="FU43" s="3"/>
      <c r="FV43" s="3"/>
      <c r="FW43" s="3"/>
      <c r="FX43" s="3"/>
      <c r="FY43" s="3"/>
      <c r="FZ43" s="3"/>
      <c r="GA43" s="3"/>
      <c r="GB43" s="3"/>
      <c r="GC43" s="3"/>
      <c r="GD43" s="3"/>
      <c r="GE43" s="3"/>
      <c r="GF43" s="3"/>
      <c r="GG43" s="3"/>
      <c r="GH43" s="3"/>
      <c r="GI43" s="3"/>
      <c r="GJ43" s="3"/>
      <c r="GK43" s="3"/>
      <c r="GL43" s="3"/>
      <c r="GM43" s="3"/>
      <c r="GN43" s="3"/>
      <c r="GO43" s="3"/>
      <c r="GP43" s="3"/>
      <c r="GQ43" s="3"/>
      <c r="GR43" s="3"/>
      <c r="GS43" s="3"/>
      <c r="GT43" s="3"/>
      <c r="GU43" s="3"/>
      <c r="GV43" s="3"/>
      <c r="GW43" s="3"/>
      <c r="GX43" s="3"/>
      <c r="GY43" s="3"/>
      <c r="GZ43" s="3"/>
      <c r="HA43" s="3"/>
      <c r="HB43" s="3"/>
      <c r="HC43" s="3"/>
      <c r="HD43" s="3"/>
      <c r="HE43" s="3"/>
      <c r="HF43" s="3"/>
      <c r="HG43" s="3"/>
      <c r="HH43" s="3"/>
      <c r="HI43" s="3"/>
      <c r="HJ43" s="3"/>
      <c r="HK43" s="3"/>
      <c r="HL43" s="3"/>
      <c r="HM43" s="3"/>
      <c r="HN43" s="3"/>
      <c r="HO43" s="3"/>
      <c r="HP43" s="3"/>
      <c r="HQ43" s="3"/>
      <c r="HR43" s="3"/>
      <c r="HS43" s="3"/>
      <c r="HT43" s="3"/>
      <c r="HU43" s="3"/>
      <c r="HV43" s="3"/>
      <c r="HW43" s="3"/>
      <c r="HX43" s="3"/>
      <c r="HY43" s="3"/>
      <c r="HZ43" s="3"/>
      <c r="IA43" s="3"/>
      <c r="IB43" s="3"/>
      <c r="IC43" s="3"/>
      <c r="ID43" s="3"/>
      <c r="IE43" s="3"/>
      <c r="IF43" s="3"/>
      <c r="IG43" s="3"/>
      <c r="IH43" s="3"/>
      <c r="II43" s="3"/>
      <c r="IJ43" s="3"/>
      <c r="IK43" s="3"/>
      <c r="IL43" s="3"/>
      <c r="IM43" s="3"/>
      <c r="IN43" s="3"/>
      <c r="IO43" s="3"/>
      <c r="IP43" s="3"/>
      <c r="IQ43" s="3"/>
      <c r="IR43" s="3"/>
      <c r="IS43" s="3"/>
      <c r="IT43" s="3"/>
    </row>
    <row r="44" spans="1:254" ht="14.5" customHeight="1" x14ac:dyDescent="0.2">
      <c r="A44" s="5" t="s">
        <v>17</v>
      </c>
      <c r="B44" s="30">
        <v>2017</v>
      </c>
      <c r="C44" s="33">
        <v>7431.7049999999999</v>
      </c>
      <c r="D44" s="30">
        <v>2800000</v>
      </c>
      <c r="E44" s="30">
        <v>3000000</v>
      </c>
      <c r="F44" s="30" t="s">
        <v>9</v>
      </c>
      <c r="G44" s="30">
        <v>155800</v>
      </c>
      <c r="H44" s="63"/>
      <c r="I44" s="16"/>
      <c r="J44" s="18"/>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c r="CO44" s="3"/>
      <c r="CP44" s="3"/>
      <c r="CQ44" s="3"/>
      <c r="CR44" s="3"/>
      <c r="CS44" s="3"/>
      <c r="CT44" s="3"/>
      <c r="CU44" s="3"/>
      <c r="CV44" s="3"/>
      <c r="CW44" s="3"/>
      <c r="CX44" s="3"/>
      <c r="CY44" s="3"/>
      <c r="CZ44" s="3"/>
      <c r="DA44" s="3"/>
      <c r="DB44" s="3"/>
      <c r="DC44" s="3"/>
      <c r="DD44" s="3"/>
      <c r="DE44" s="3"/>
      <c r="DF44" s="3"/>
      <c r="DG44" s="3"/>
      <c r="DH44" s="3"/>
      <c r="DI44" s="3"/>
      <c r="DJ44" s="3"/>
      <c r="DK44" s="3"/>
      <c r="DL44" s="3"/>
      <c r="DM44" s="3"/>
      <c r="DN44" s="3"/>
      <c r="DO44" s="3"/>
      <c r="DP44" s="3"/>
      <c r="DQ44" s="3"/>
      <c r="DR44" s="3"/>
      <c r="DS44" s="3"/>
      <c r="DT44" s="3"/>
      <c r="DU44" s="3"/>
      <c r="DV44" s="3"/>
      <c r="DW44" s="3"/>
      <c r="DX44" s="3"/>
      <c r="DY44" s="3"/>
      <c r="DZ44" s="3"/>
      <c r="EA44" s="3"/>
      <c r="EB44" s="3"/>
      <c r="EC44" s="3"/>
      <c r="ED44" s="3"/>
      <c r="EE44" s="3"/>
      <c r="EF44" s="3"/>
      <c r="EG44" s="3"/>
      <c r="EH44" s="3"/>
      <c r="EI44" s="3"/>
      <c r="EJ44" s="3"/>
      <c r="EK44" s="3"/>
      <c r="EL44" s="3"/>
      <c r="EM44" s="3"/>
      <c r="EN44" s="3"/>
      <c r="EO44" s="3"/>
      <c r="EP44" s="3"/>
      <c r="EQ44" s="3"/>
      <c r="ER44" s="3"/>
      <c r="ES44" s="3"/>
      <c r="ET44" s="3"/>
      <c r="EU44" s="3"/>
      <c r="EV44" s="3"/>
      <c r="EW44" s="3"/>
      <c r="EX44" s="3"/>
      <c r="EY44" s="3"/>
      <c r="EZ44" s="3"/>
      <c r="FA44" s="3"/>
      <c r="FB44" s="3"/>
      <c r="FC44" s="3"/>
      <c r="FD44" s="3"/>
      <c r="FE44" s="3"/>
      <c r="FF44" s="3"/>
      <c r="FG44" s="3"/>
      <c r="FH44" s="3"/>
      <c r="FI44" s="3"/>
      <c r="FJ44" s="3"/>
      <c r="FK44" s="3"/>
      <c r="FL44" s="3"/>
      <c r="FM44" s="3"/>
      <c r="FN44" s="3"/>
      <c r="FO44" s="3"/>
      <c r="FP44" s="3"/>
      <c r="FQ44" s="3"/>
      <c r="FR44" s="3"/>
      <c r="FS44" s="3"/>
      <c r="FT44" s="3"/>
      <c r="FU44" s="3"/>
      <c r="FV44" s="3"/>
      <c r="FW44" s="3"/>
      <c r="FX44" s="3"/>
      <c r="FY44" s="3"/>
      <c r="FZ44" s="3"/>
      <c r="GA44" s="3"/>
      <c r="GB44" s="3"/>
      <c r="GC44" s="3"/>
      <c r="GD44" s="3"/>
      <c r="GE44" s="3"/>
      <c r="GF44" s="3"/>
      <c r="GG44" s="3"/>
      <c r="GH44" s="3"/>
      <c r="GI44" s="3"/>
      <c r="GJ44" s="3"/>
      <c r="GK44" s="3"/>
      <c r="GL44" s="3"/>
      <c r="GM44" s="3"/>
      <c r="GN44" s="3"/>
      <c r="GO44" s="3"/>
      <c r="GP44" s="3"/>
      <c r="GQ44" s="3"/>
      <c r="GR44" s="3"/>
      <c r="GS44" s="3"/>
      <c r="GT44" s="3"/>
      <c r="GU44" s="3"/>
      <c r="GV44" s="3"/>
      <c r="GW44" s="3"/>
      <c r="GX44" s="3"/>
      <c r="GY44" s="3"/>
      <c r="GZ44" s="3"/>
      <c r="HA44" s="3"/>
      <c r="HB44" s="3"/>
      <c r="HC44" s="3"/>
      <c r="HD44" s="3"/>
      <c r="HE44" s="3"/>
      <c r="HF44" s="3"/>
      <c r="HG44" s="3"/>
      <c r="HH44" s="3"/>
      <c r="HI44" s="3"/>
      <c r="HJ44" s="3"/>
      <c r="HK44" s="3"/>
      <c r="HL44" s="3"/>
      <c r="HM44" s="3"/>
      <c r="HN44" s="3"/>
      <c r="HO44" s="3"/>
      <c r="HP44" s="3"/>
      <c r="HQ44" s="3"/>
      <c r="HR44" s="3"/>
      <c r="HS44" s="3"/>
      <c r="HT44" s="3"/>
      <c r="HU44" s="3"/>
      <c r="HV44" s="3"/>
      <c r="HW44" s="3"/>
      <c r="HX44" s="3"/>
      <c r="HY44" s="3"/>
      <c r="HZ44" s="3"/>
      <c r="IA44" s="3"/>
      <c r="IB44" s="3"/>
      <c r="IC44" s="3"/>
      <c r="ID44" s="3"/>
      <c r="IE44" s="3"/>
      <c r="IF44" s="3"/>
      <c r="IG44" s="3"/>
      <c r="IH44" s="3"/>
      <c r="II44" s="3"/>
      <c r="IJ44" s="3"/>
      <c r="IK44" s="3"/>
      <c r="IL44" s="3"/>
      <c r="IM44" s="3"/>
      <c r="IN44" s="3"/>
      <c r="IO44" s="3"/>
      <c r="IP44" s="3"/>
      <c r="IQ44" s="3"/>
      <c r="IR44" s="3"/>
      <c r="IS44" s="3"/>
      <c r="IT44" s="3"/>
    </row>
    <row r="45" spans="1:254" ht="14.5" customHeight="1" x14ac:dyDescent="0.2">
      <c r="A45" s="5" t="s">
        <v>17</v>
      </c>
      <c r="B45" s="30">
        <v>2018</v>
      </c>
      <c r="C45" s="33">
        <v>7951.2619999999997</v>
      </c>
      <c r="D45" s="30">
        <v>2945735</v>
      </c>
      <c r="E45" s="30">
        <v>3177989</v>
      </c>
      <c r="F45" s="30" t="s">
        <v>9</v>
      </c>
      <c r="G45" s="30">
        <v>5142400</v>
      </c>
      <c r="H45" s="63"/>
      <c r="I45" s="16"/>
      <c r="J45" s="18"/>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c r="CO45" s="3"/>
      <c r="CP45" s="3"/>
      <c r="CQ45" s="3"/>
      <c r="CR45" s="3"/>
      <c r="CS45" s="3"/>
      <c r="CT45" s="3"/>
      <c r="CU45" s="3"/>
      <c r="CV45" s="3"/>
      <c r="CW45" s="3"/>
      <c r="CX45" s="3"/>
      <c r="CY45" s="3"/>
      <c r="CZ45" s="3"/>
      <c r="DA45" s="3"/>
      <c r="DB45" s="3"/>
      <c r="DC45" s="3"/>
      <c r="DD45" s="3"/>
      <c r="DE45" s="3"/>
      <c r="DF45" s="3"/>
      <c r="DG45" s="3"/>
      <c r="DH45" s="3"/>
      <c r="DI45" s="3"/>
      <c r="DJ45" s="3"/>
      <c r="DK45" s="3"/>
      <c r="DL45" s="3"/>
      <c r="DM45" s="3"/>
      <c r="DN45" s="3"/>
      <c r="DO45" s="3"/>
      <c r="DP45" s="3"/>
      <c r="DQ45" s="3"/>
      <c r="DR45" s="3"/>
      <c r="DS45" s="3"/>
      <c r="DT45" s="3"/>
      <c r="DU45" s="3"/>
      <c r="DV45" s="3"/>
      <c r="DW45" s="3"/>
      <c r="DX45" s="3"/>
      <c r="DY45" s="3"/>
      <c r="DZ45" s="3"/>
      <c r="EA45" s="3"/>
      <c r="EB45" s="3"/>
      <c r="EC45" s="3"/>
      <c r="ED45" s="3"/>
      <c r="EE45" s="3"/>
      <c r="EF45" s="3"/>
      <c r="EG45" s="3"/>
      <c r="EH45" s="3"/>
      <c r="EI45" s="3"/>
      <c r="EJ45" s="3"/>
      <c r="EK45" s="3"/>
      <c r="EL45" s="3"/>
      <c r="EM45" s="3"/>
      <c r="EN45" s="3"/>
      <c r="EO45" s="3"/>
      <c r="EP45" s="3"/>
      <c r="EQ45" s="3"/>
      <c r="ER45" s="3"/>
      <c r="ES45" s="3"/>
      <c r="ET45" s="3"/>
      <c r="EU45" s="3"/>
      <c r="EV45" s="3"/>
      <c r="EW45" s="3"/>
      <c r="EX45" s="3"/>
      <c r="EY45" s="3"/>
      <c r="EZ45" s="3"/>
      <c r="FA45" s="3"/>
      <c r="FB45" s="3"/>
      <c r="FC45" s="3"/>
      <c r="FD45" s="3"/>
      <c r="FE45" s="3"/>
      <c r="FF45" s="3"/>
      <c r="FG45" s="3"/>
      <c r="FH45" s="3"/>
      <c r="FI45" s="3"/>
      <c r="FJ45" s="3"/>
      <c r="FK45" s="3"/>
      <c r="FL45" s="3"/>
      <c r="FM45" s="3"/>
      <c r="FN45" s="3"/>
      <c r="FO45" s="3"/>
      <c r="FP45" s="3"/>
      <c r="FQ45" s="3"/>
      <c r="FR45" s="3"/>
      <c r="FS45" s="3"/>
      <c r="FT45" s="3"/>
      <c r="FU45" s="3"/>
      <c r="FV45" s="3"/>
      <c r="FW45" s="3"/>
      <c r="FX45" s="3"/>
      <c r="FY45" s="3"/>
      <c r="FZ45" s="3"/>
      <c r="GA45" s="3"/>
      <c r="GB45" s="3"/>
      <c r="GC45" s="3"/>
      <c r="GD45" s="3"/>
      <c r="GE45" s="3"/>
      <c r="GF45" s="3"/>
      <c r="GG45" s="3"/>
      <c r="GH45" s="3"/>
      <c r="GI45" s="3"/>
      <c r="GJ45" s="3"/>
      <c r="GK45" s="3"/>
      <c r="GL45" s="3"/>
      <c r="GM45" s="3"/>
      <c r="GN45" s="3"/>
      <c r="GO45" s="3"/>
      <c r="GP45" s="3"/>
      <c r="GQ45" s="3"/>
      <c r="GR45" s="3"/>
      <c r="GS45" s="3"/>
      <c r="GT45" s="3"/>
      <c r="GU45" s="3"/>
      <c r="GV45" s="3"/>
      <c r="GW45" s="3"/>
      <c r="GX45" s="3"/>
      <c r="GY45" s="3"/>
      <c r="GZ45" s="3"/>
      <c r="HA45" s="3"/>
      <c r="HB45" s="3"/>
      <c r="HC45" s="3"/>
      <c r="HD45" s="3"/>
      <c r="HE45" s="3"/>
      <c r="HF45" s="3"/>
      <c r="HG45" s="3"/>
      <c r="HH45" s="3"/>
      <c r="HI45" s="3"/>
      <c r="HJ45" s="3"/>
      <c r="HK45" s="3"/>
      <c r="HL45" s="3"/>
      <c r="HM45" s="3"/>
      <c r="HN45" s="3"/>
      <c r="HO45" s="3"/>
      <c r="HP45" s="3"/>
      <c r="HQ45" s="3"/>
      <c r="HR45" s="3"/>
      <c r="HS45" s="3"/>
      <c r="HT45" s="3"/>
      <c r="HU45" s="3"/>
      <c r="HV45" s="3"/>
      <c r="HW45" s="3"/>
      <c r="HX45" s="3"/>
      <c r="HY45" s="3"/>
      <c r="HZ45" s="3"/>
      <c r="IA45" s="3"/>
      <c r="IB45" s="3"/>
      <c r="IC45" s="3"/>
      <c r="ID45" s="3"/>
      <c r="IE45" s="3"/>
      <c r="IF45" s="3"/>
      <c r="IG45" s="3"/>
      <c r="IH45" s="3"/>
      <c r="II45" s="3"/>
      <c r="IJ45" s="3"/>
      <c r="IK45" s="3"/>
      <c r="IL45" s="3"/>
      <c r="IM45" s="3"/>
      <c r="IN45" s="3"/>
      <c r="IO45" s="3"/>
      <c r="IP45" s="3"/>
      <c r="IQ45" s="3"/>
      <c r="IR45" s="3"/>
      <c r="IS45" s="3"/>
      <c r="IT45" s="3"/>
    </row>
    <row r="46" spans="1:254" ht="14.5" customHeight="1" x14ac:dyDescent="0.2">
      <c r="A46" s="5" t="s">
        <v>17</v>
      </c>
      <c r="B46" s="30">
        <v>2019</v>
      </c>
      <c r="C46" s="33">
        <v>8562.4979999999996</v>
      </c>
      <c r="D46" s="30">
        <v>3194543</v>
      </c>
      <c r="E46" s="30">
        <v>3502772</v>
      </c>
      <c r="F46" s="30" t="s">
        <v>9</v>
      </c>
      <c r="G46" s="30">
        <v>3799700</v>
      </c>
      <c r="H46" s="63"/>
      <c r="I46" s="16"/>
      <c r="J46" s="18"/>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c r="CO46" s="3"/>
      <c r="CP46" s="3"/>
      <c r="CQ46" s="3"/>
      <c r="CR46" s="3"/>
      <c r="CS46" s="3"/>
      <c r="CT46" s="3"/>
      <c r="CU46" s="3"/>
      <c r="CV46" s="3"/>
      <c r="CW46" s="3"/>
      <c r="CX46" s="3"/>
      <c r="CY46" s="3"/>
      <c r="CZ46" s="3"/>
      <c r="DA46" s="3"/>
      <c r="DB46" s="3"/>
      <c r="DC46" s="3"/>
      <c r="DD46" s="3"/>
      <c r="DE46" s="3"/>
      <c r="DF46" s="3"/>
      <c r="DG46" s="3"/>
      <c r="DH46" s="3"/>
      <c r="DI46" s="3"/>
      <c r="DJ46" s="3"/>
      <c r="DK46" s="3"/>
      <c r="DL46" s="3"/>
      <c r="DM46" s="3"/>
      <c r="DN46" s="3"/>
      <c r="DO46" s="3"/>
      <c r="DP46" s="3"/>
      <c r="DQ46" s="3"/>
      <c r="DR46" s="3"/>
      <c r="DS46" s="3"/>
      <c r="DT46" s="3"/>
      <c r="DU46" s="3"/>
      <c r="DV46" s="3"/>
      <c r="DW46" s="3"/>
      <c r="DX46" s="3"/>
      <c r="DY46" s="3"/>
      <c r="DZ46" s="3"/>
      <c r="EA46" s="3"/>
      <c r="EB46" s="3"/>
      <c r="EC46" s="3"/>
      <c r="ED46" s="3"/>
      <c r="EE46" s="3"/>
      <c r="EF46" s="3"/>
      <c r="EG46" s="3"/>
      <c r="EH46" s="3"/>
      <c r="EI46" s="3"/>
      <c r="EJ46" s="3"/>
      <c r="EK46" s="3"/>
      <c r="EL46" s="3"/>
      <c r="EM46" s="3"/>
      <c r="EN46" s="3"/>
      <c r="EO46" s="3"/>
      <c r="EP46" s="3"/>
      <c r="EQ46" s="3"/>
      <c r="ER46" s="3"/>
      <c r="ES46" s="3"/>
      <c r="ET46" s="3"/>
      <c r="EU46" s="3"/>
      <c r="EV46" s="3"/>
      <c r="EW46" s="3"/>
      <c r="EX46" s="3"/>
      <c r="EY46" s="3"/>
      <c r="EZ46" s="3"/>
      <c r="FA46" s="3"/>
      <c r="FB46" s="3"/>
      <c r="FC46" s="3"/>
      <c r="FD46" s="3"/>
      <c r="FE46" s="3"/>
      <c r="FF46" s="3"/>
      <c r="FG46" s="3"/>
      <c r="FH46" s="3"/>
      <c r="FI46" s="3"/>
      <c r="FJ46" s="3"/>
      <c r="FK46" s="3"/>
      <c r="FL46" s="3"/>
      <c r="FM46" s="3"/>
      <c r="FN46" s="3"/>
      <c r="FO46" s="3"/>
      <c r="FP46" s="3"/>
      <c r="FQ46" s="3"/>
      <c r="FR46" s="3"/>
      <c r="FS46" s="3"/>
      <c r="FT46" s="3"/>
      <c r="FU46" s="3"/>
      <c r="FV46" s="3"/>
      <c r="FW46" s="3"/>
      <c r="FX46" s="3"/>
      <c r="FY46" s="3"/>
      <c r="FZ46" s="3"/>
      <c r="GA46" s="3"/>
      <c r="GB46" s="3"/>
      <c r="GC46" s="3"/>
      <c r="GD46" s="3"/>
      <c r="GE46" s="3"/>
      <c r="GF46" s="3"/>
      <c r="GG46" s="3"/>
      <c r="GH46" s="3"/>
      <c r="GI46" s="3"/>
      <c r="GJ46" s="3"/>
      <c r="GK46" s="3"/>
      <c r="GL46" s="3"/>
      <c r="GM46" s="3"/>
      <c r="GN46" s="3"/>
      <c r="GO46" s="3"/>
      <c r="GP46" s="3"/>
      <c r="GQ46" s="3"/>
      <c r="GR46" s="3"/>
      <c r="GS46" s="3"/>
      <c r="GT46" s="3"/>
      <c r="GU46" s="3"/>
      <c r="GV46" s="3"/>
      <c r="GW46" s="3"/>
      <c r="GX46" s="3"/>
      <c r="GY46" s="3"/>
      <c r="GZ46" s="3"/>
      <c r="HA46" s="3"/>
      <c r="HB46" s="3"/>
      <c r="HC46" s="3"/>
      <c r="HD46" s="3"/>
      <c r="HE46" s="3"/>
      <c r="HF46" s="3"/>
      <c r="HG46" s="3"/>
      <c r="HH46" s="3"/>
      <c r="HI46" s="3"/>
      <c r="HJ46" s="3"/>
      <c r="HK46" s="3"/>
      <c r="HL46" s="3"/>
      <c r="HM46" s="3"/>
      <c r="HN46" s="3"/>
      <c r="HO46" s="3"/>
      <c r="HP46" s="3"/>
      <c r="HQ46" s="3"/>
      <c r="HR46" s="3"/>
      <c r="HS46" s="3"/>
      <c r="HT46" s="3"/>
      <c r="HU46" s="3"/>
      <c r="HV46" s="3"/>
      <c r="HW46" s="3"/>
      <c r="HX46" s="3"/>
      <c r="HY46" s="3"/>
      <c r="HZ46" s="3"/>
      <c r="IA46" s="3"/>
      <c r="IB46" s="3"/>
      <c r="IC46" s="3"/>
      <c r="ID46" s="3"/>
      <c r="IE46" s="3"/>
      <c r="IF46" s="3"/>
      <c r="IG46" s="3"/>
      <c r="IH46" s="3"/>
      <c r="II46" s="3"/>
      <c r="IJ46" s="3"/>
      <c r="IK46" s="3"/>
      <c r="IL46" s="3"/>
      <c r="IM46" s="3"/>
      <c r="IN46" s="3"/>
      <c r="IO46" s="3"/>
      <c r="IP46" s="3"/>
      <c r="IQ46" s="3"/>
      <c r="IR46" s="3"/>
      <c r="IS46" s="3"/>
      <c r="IT46" s="3"/>
    </row>
    <row r="47" spans="1:254" ht="15" customHeight="1" x14ac:dyDescent="0.2">
      <c r="A47" s="5" t="s">
        <v>17</v>
      </c>
      <c r="B47" s="30">
        <v>2020</v>
      </c>
      <c r="C47" s="33">
        <v>8830.2540000000008</v>
      </c>
      <c r="D47" s="30">
        <v>3047919</v>
      </c>
      <c r="E47" s="30">
        <v>3621519</v>
      </c>
      <c r="F47" s="30" t="s">
        <v>9</v>
      </c>
      <c r="G47" s="30">
        <v>4058600</v>
      </c>
      <c r="H47" s="63"/>
      <c r="I47" s="16"/>
      <c r="J47" s="18"/>
    </row>
    <row r="48" spans="1:254" ht="14.5" customHeight="1" x14ac:dyDescent="0.2">
      <c r="A48" s="5" t="s">
        <v>17</v>
      </c>
      <c r="B48" s="30">
        <v>2021</v>
      </c>
      <c r="C48" s="33">
        <v>10020.124</v>
      </c>
      <c r="D48" s="30">
        <v>3340004</v>
      </c>
      <c r="E48" s="30">
        <v>3807204</v>
      </c>
      <c r="F48" s="30" t="s">
        <v>9</v>
      </c>
      <c r="G48" s="30">
        <v>3977600</v>
      </c>
      <c r="H48" s="63"/>
      <c r="I48" s="16"/>
      <c r="J48" s="18"/>
    </row>
    <row r="49" spans="1:10" ht="14.5" customHeight="1" x14ac:dyDescent="0.2">
      <c r="A49" s="5" t="s">
        <v>17</v>
      </c>
      <c r="B49" s="30">
        <v>2022</v>
      </c>
      <c r="C49" s="33">
        <v>11140.041999999999</v>
      </c>
      <c r="D49" s="30">
        <v>3478449</v>
      </c>
      <c r="E49" s="30">
        <v>4132206</v>
      </c>
      <c r="F49" s="30">
        <v>3864514</v>
      </c>
      <c r="G49" s="30">
        <f>2387737+1213032+747018+147115+7555+14891+1563</f>
        <v>4518911</v>
      </c>
      <c r="H49" s="63"/>
      <c r="I49" s="16"/>
      <c r="J49" s="18"/>
    </row>
    <row r="50" spans="1:10" ht="14.5" customHeight="1" x14ac:dyDescent="0.2">
      <c r="A50" s="5" t="s">
        <v>17</v>
      </c>
      <c r="B50" s="30">
        <v>2023</v>
      </c>
      <c r="C50" s="33">
        <v>11388.86</v>
      </c>
      <c r="D50" s="30">
        <v>2698572</v>
      </c>
      <c r="E50" s="30">
        <v>4138062</v>
      </c>
      <c r="F50" s="30">
        <v>3936763</v>
      </c>
      <c r="G50" s="30">
        <f>1923761+644073+995805+130551+3394+17071+1535</f>
        <v>3716190</v>
      </c>
      <c r="H50" s="63"/>
      <c r="I50" s="16"/>
      <c r="J50" s="18"/>
    </row>
    <row r="51" spans="1:10" ht="14.5" customHeight="1" x14ac:dyDescent="0.2">
      <c r="A51" s="5" t="s">
        <v>17</v>
      </c>
      <c r="B51" s="30">
        <v>2024</v>
      </c>
      <c r="C51" s="36">
        <v>11793</v>
      </c>
      <c r="D51" s="30">
        <v>2574449</v>
      </c>
      <c r="E51" s="30" t="s">
        <v>19</v>
      </c>
      <c r="F51" s="30">
        <v>4118730</v>
      </c>
      <c r="G51" s="30">
        <v>4619821</v>
      </c>
      <c r="H51" s="63"/>
      <c r="I51" s="16"/>
      <c r="J51" s="18"/>
    </row>
    <row r="52" spans="1:10" ht="14.5" customHeight="1" x14ac:dyDescent="0.2">
      <c r="A52" s="7" t="s">
        <v>20</v>
      </c>
      <c r="B52" s="34">
        <v>2015</v>
      </c>
      <c r="C52" s="31" t="s">
        <v>9</v>
      </c>
      <c r="D52" s="31" t="s">
        <v>9</v>
      </c>
      <c r="E52" s="31" t="s">
        <v>9</v>
      </c>
      <c r="F52" s="31" t="s">
        <v>9</v>
      </c>
      <c r="G52" s="31" t="s">
        <v>9</v>
      </c>
      <c r="H52" s="62" t="s">
        <v>21</v>
      </c>
      <c r="I52" s="16"/>
      <c r="J52" s="18"/>
    </row>
    <row r="53" spans="1:10" ht="14.5" customHeight="1" x14ac:dyDescent="0.2">
      <c r="A53" s="5" t="s">
        <v>20</v>
      </c>
      <c r="B53" s="35">
        <v>2016</v>
      </c>
      <c r="C53" s="30" t="s">
        <v>9</v>
      </c>
      <c r="D53" s="30" t="s">
        <v>9</v>
      </c>
      <c r="E53" s="30" t="s">
        <v>9</v>
      </c>
      <c r="F53" s="30" t="s">
        <v>9</v>
      </c>
      <c r="G53" s="30" t="s">
        <v>9</v>
      </c>
      <c r="H53" s="63"/>
      <c r="I53" s="16"/>
      <c r="J53" s="18"/>
    </row>
    <row r="54" spans="1:10" ht="14.5" customHeight="1" x14ac:dyDescent="0.2">
      <c r="A54" s="5" t="s">
        <v>20</v>
      </c>
      <c r="B54" s="35">
        <v>2017</v>
      </c>
      <c r="C54" s="30" t="s">
        <v>9</v>
      </c>
      <c r="D54" s="30">
        <v>383000</v>
      </c>
      <c r="E54" s="30">
        <v>1343000</v>
      </c>
      <c r="F54" s="30" t="s">
        <v>9</v>
      </c>
      <c r="G54" s="30" t="s">
        <v>9</v>
      </c>
      <c r="H54" s="63"/>
      <c r="I54" s="16"/>
      <c r="J54" s="18"/>
    </row>
    <row r="55" spans="1:10" ht="14.5" customHeight="1" x14ac:dyDescent="0.2">
      <c r="A55" s="5" t="s">
        <v>20</v>
      </c>
      <c r="B55" s="35">
        <v>2018</v>
      </c>
      <c r="C55" s="30">
        <v>3400</v>
      </c>
      <c r="D55" s="30">
        <v>453000</v>
      </c>
      <c r="E55" s="30">
        <v>1623000</v>
      </c>
      <c r="F55" s="30" t="s">
        <v>9</v>
      </c>
      <c r="G55" s="30">
        <v>4638200</v>
      </c>
      <c r="H55" s="63"/>
      <c r="I55" s="16"/>
      <c r="J55" s="18"/>
    </row>
    <row r="56" spans="1:10" ht="15" customHeight="1" x14ac:dyDescent="0.2">
      <c r="A56" s="5" t="s">
        <v>20</v>
      </c>
      <c r="B56" s="35">
        <v>2019</v>
      </c>
      <c r="C56" s="30">
        <v>3700</v>
      </c>
      <c r="D56" s="30">
        <v>484100</v>
      </c>
      <c r="E56" s="30">
        <v>1702000</v>
      </c>
      <c r="F56" s="30" t="s">
        <v>9</v>
      </c>
      <c r="G56" s="30">
        <v>3562002</v>
      </c>
      <c r="H56" s="63"/>
      <c r="I56" s="16"/>
      <c r="J56" s="18"/>
    </row>
    <row r="57" spans="1:10" ht="14.5" customHeight="1" x14ac:dyDescent="0.2">
      <c r="A57" s="5" t="s">
        <v>20</v>
      </c>
      <c r="B57" s="35">
        <v>2020</v>
      </c>
      <c r="C57" s="33">
        <v>4226.7939999999999</v>
      </c>
      <c r="D57" s="30">
        <v>651900</v>
      </c>
      <c r="E57" s="30">
        <v>1713400</v>
      </c>
      <c r="F57" s="30" t="s">
        <v>9</v>
      </c>
      <c r="G57" s="30">
        <v>4544031</v>
      </c>
      <c r="H57" s="63"/>
      <c r="I57" s="16"/>
      <c r="J57" s="18"/>
    </row>
    <row r="58" spans="1:10" ht="14.5" customHeight="1" x14ac:dyDescent="0.2">
      <c r="A58" s="5" t="s">
        <v>20</v>
      </c>
      <c r="B58" s="35">
        <v>2021</v>
      </c>
      <c r="C58" s="33">
        <v>4600.7</v>
      </c>
      <c r="D58" s="30">
        <v>694000</v>
      </c>
      <c r="E58" s="30">
        <v>1848000</v>
      </c>
      <c r="F58" s="30" t="s">
        <v>9</v>
      </c>
      <c r="G58" s="30">
        <v>7020017</v>
      </c>
      <c r="H58" s="63"/>
      <c r="I58" s="16"/>
      <c r="J58" s="18"/>
    </row>
    <row r="59" spans="1:10" ht="14.5" customHeight="1" x14ac:dyDescent="0.2">
      <c r="A59" s="5" t="s">
        <v>20</v>
      </c>
      <c r="B59" s="35">
        <v>2022</v>
      </c>
      <c r="C59" s="33">
        <v>4971.8559999999998</v>
      </c>
      <c r="D59" s="30">
        <v>680600</v>
      </c>
      <c r="E59" s="30">
        <v>1899400</v>
      </c>
      <c r="F59" s="30" t="s">
        <v>9</v>
      </c>
      <c r="G59" s="30">
        <v>7547125</v>
      </c>
      <c r="H59" s="63"/>
      <c r="I59" s="16"/>
      <c r="J59" s="18"/>
    </row>
    <row r="60" spans="1:10" ht="14.5" customHeight="1" x14ac:dyDescent="0.2">
      <c r="A60" s="5" t="s">
        <v>20</v>
      </c>
      <c r="B60" s="35">
        <v>2023</v>
      </c>
      <c r="C60" s="33">
        <v>4676.5</v>
      </c>
      <c r="D60" s="30">
        <v>410400</v>
      </c>
      <c r="E60" s="30">
        <v>1870400</v>
      </c>
      <c r="F60" s="30" t="s">
        <v>9</v>
      </c>
      <c r="G60" s="30">
        <v>6060687</v>
      </c>
      <c r="H60" s="63"/>
      <c r="I60" s="16"/>
      <c r="J60" s="18"/>
    </row>
    <row r="61" spans="1:10" ht="14.5" customHeight="1" x14ac:dyDescent="0.2">
      <c r="A61" s="5" t="s">
        <v>20</v>
      </c>
      <c r="B61" s="35">
        <v>2024</v>
      </c>
      <c r="C61" s="33">
        <v>5025</v>
      </c>
      <c r="D61" s="30">
        <v>510800</v>
      </c>
      <c r="E61" s="30">
        <v>1951000</v>
      </c>
      <c r="F61" s="30" t="s">
        <v>9</v>
      </c>
      <c r="G61" s="30">
        <v>7136433</v>
      </c>
      <c r="H61" s="63"/>
      <c r="I61" s="16"/>
      <c r="J61" s="18"/>
    </row>
    <row r="62" spans="1:10" ht="14.5" customHeight="1" x14ac:dyDescent="0.2">
      <c r="A62" s="7" t="s">
        <v>22</v>
      </c>
      <c r="B62" s="34">
        <v>2015</v>
      </c>
      <c r="C62" s="32">
        <v>992.66160200000002</v>
      </c>
      <c r="D62" s="32">
        <f>228823.07*44/12</f>
        <v>839017.92333333334</v>
      </c>
      <c r="E62" s="31" t="s">
        <v>9</v>
      </c>
      <c r="F62" s="32">
        <f>130078.19*44/12</f>
        <v>476953.36333333334</v>
      </c>
      <c r="G62" s="31" t="s">
        <v>9</v>
      </c>
      <c r="H62" s="62" t="s">
        <v>23</v>
      </c>
      <c r="I62" s="16"/>
      <c r="J62" s="18"/>
    </row>
    <row r="63" spans="1:10" ht="14.5" customHeight="1" x14ac:dyDescent="0.2">
      <c r="A63" s="5" t="s">
        <v>22</v>
      </c>
      <c r="B63" s="35">
        <v>2016</v>
      </c>
      <c r="C63" s="33">
        <v>1450</v>
      </c>
      <c r="D63" s="30">
        <v>1291202</v>
      </c>
      <c r="E63" s="30" t="s">
        <v>9</v>
      </c>
      <c r="F63" s="30">
        <v>642657</v>
      </c>
      <c r="G63" s="30" t="s">
        <v>9</v>
      </c>
      <c r="H63" s="63"/>
      <c r="I63" s="16"/>
      <c r="J63" s="18"/>
    </row>
    <row r="64" spans="1:10" ht="14.5" customHeight="1" x14ac:dyDescent="0.2">
      <c r="A64" s="5" t="s">
        <v>22</v>
      </c>
      <c r="B64" s="35">
        <v>2017</v>
      </c>
      <c r="C64" s="33">
        <v>1460</v>
      </c>
      <c r="D64" s="30">
        <v>1416622</v>
      </c>
      <c r="E64" s="30" t="s">
        <v>9</v>
      </c>
      <c r="F64" s="30">
        <v>649589</v>
      </c>
      <c r="G64" s="30" t="s">
        <v>9</v>
      </c>
      <c r="H64" s="63"/>
      <c r="I64" s="16"/>
      <c r="J64" s="18"/>
    </row>
    <row r="65" spans="1:10" ht="15" customHeight="1" x14ac:dyDescent="0.2">
      <c r="A65" s="5" t="s">
        <v>22</v>
      </c>
      <c r="B65" s="35">
        <v>2018</v>
      </c>
      <c r="C65" s="33">
        <v>1543.2297570000001</v>
      </c>
      <c r="D65" s="30">
        <v>1470613</v>
      </c>
      <c r="E65" s="30" t="s">
        <v>9</v>
      </c>
      <c r="F65" s="30">
        <v>676050</v>
      </c>
      <c r="G65" s="30" t="s">
        <v>9</v>
      </c>
      <c r="H65" s="63"/>
      <c r="I65" s="16"/>
      <c r="J65" s="18"/>
    </row>
    <row r="66" spans="1:10" ht="14.5" customHeight="1" x14ac:dyDescent="0.2">
      <c r="A66" s="5" t="s">
        <v>22</v>
      </c>
      <c r="B66" s="35">
        <v>2019</v>
      </c>
      <c r="C66" s="33">
        <v>1746.3902149999999</v>
      </c>
      <c r="D66" s="30">
        <v>2074679</v>
      </c>
      <c r="E66" s="30" t="s">
        <v>9</v>
      </c>
      <c r="F66" s="30">
        <v>671656</v>
      </c>
      <c r="G66" s="30">
        <v>12638</v>
      </c>
      <c r="H66" s="63"/>
      <c r="I66" s="16"/>
      <c r="J66" s="18"/>
    </row>
    <row r="67" spans="1:10" ht="14.5" customHeight="1" x14ac:dyDescent="0.2">
      <c r="A67" s="5" t="s">
        <v>22</v>
      </c>
      <c r="B67" s="35">
        <v>2020</v>
      </c>
      <c r="C67" s="33">
        <v>1755.4190000000001</v>
      </c>
      <c r="D67" s="30">
        <v>2173451</v>
      </c>
      <c r="E67" s="30" t="s">
        <v>9</v>
      </c>
      <c r="F67" s="30">
        <v>774849</v>
      </c>
      <c r="G67" s="30">
        <v>1565</v>
      </c>
      <c r="H67" s="63"/>
      <c r="I67" s="16"/>
      <c r="J67" s="18"/>
    </row>
    <row r="68" spans="1:10" ht="14.5" customHeight="1" x14ac:dyDescent="0.2">
      <c r="A68" s="5" t="s">
        <v>22</v>
      </c>
      <c r="B68" s="35">
        <v>2021</v>
      </c>
      <c r="C68" s="33">
        <v>1781.6849999999999</v>
      </c>
      <c r="D68" s="30">
        <v>2485870</v>
      </c>
      <c r="E68" s="30" t="s">
        <v>9</v>
      </c>
      <c r="F68" s="30">
        <v>782790</v>
      </c>
      <c r="G68" s="30">
        <v>617</v>
      </c>
      <c r="H68" s="63"/>
      <c r="I68" s="16"/>
      <c r="J68" s="18"/>
    </row>
    <row r="69" spans="1:10" ht="14.5" customHeight="1" x14ac:dyDescent="0.2">
      <c r="A69" s="5" t="s">
        <v>22</v>
      </c>
      <c r="B69" s="35">
        <v>2022</v>
      </c>
      <c r="C69" s="33">
        <v>1752.2819999999999</v>
      </c>
      <c r="D69" s="36">
        <v>1016800</v>
      </c>
      <c r="E69" s="30" t="s">
        <v>9</v>
      </c>
      <c r="F69" s="36">
        <v>727100</v>
      </c>
      <c r="G69" s="36">
        <v>2146200</v>
      </c>
      <c r="H69" s="63"/>
      <c r="I69" s="16"/>
      <c r="J69" s="18"/>
    </row>
    <row r="70" spans="1:10" ht="14.5" customHeight="1" x14ac:dyDescent="0.2">
      <c r="A70" s="5" t="s">
        <v>22</v>
      </c>
      <c r="B70" s="35">
        <v>2023</v>
      </c>
      <c r="C70" s="38">
        <v>2207</v>
      </c>
      <c r="D70" s="36">
        <v>828600</v>
      </c>
      <c r="E70" s="30" t="s">
        <v>9</v>
      </c>
      <c r="F70" s="36">
        <v>727500</v>
      </c>
      <c r="G70" s="36">
        <v>1568500</v>
      </c>
      <c r="H70" s="63"/>
      <c r="I70" s="16"/>
      <c r="J70" s="18"/>
    </row>
    <row r="71" spans="1:10" ht="14.5" customHeight="1" x14ac:dyDescent="0.2">
      <c r="A71" s="5" t="s">
        <v>22</v>
      </c>
      <c r="B71" s="35">
        <v>2024</v>
      </c>
      <c r="C71" s="33">
        <v>2149</v>
      </c>
      <c r="D71" s="30">
        <v>776500</v>
      </c>
      <c r="E71" s="30" t="s">
        <v>9</v>
      </c>
      <c r="F71" s="30">
        <v>705200</v>
      </c>
      <c r="G71" s="30">
        <v>952200</v>
      </c>
      <c r="H71" s="63"/>
      <c r="I71" s="16"/>
      <c r="J71" s="18"/>
    </row>
    <row r="72" spans="1:10" ht="14.5" customHeight="1" x14ac:dyDescent="0.2">
      <c r="A72" s="7" t="s">
        <v>24</v>
      </c>
      <c r="B72" s="34">
        <v>2015</v>
      </c>
      <c r="C72" s="31">
        <v>1467</v>
      </c>
      <c r="D72" s="31">
        <v>237868</v>
      </c>
      <c r="E72" s="31">
        <v>533921</v>
      </c>
      <c r="F72" s="31" t="s">
        <v>9</v>
      </c>
      <c r="G72" s="31">
        <v>800673</v>
      </c>
      <c r="H72" s="62" t="s">
        <v>25</v>
      </c>
      <c r="I72" s="16"/>
      <c r="J72" s="18"/>
    </row>
    <row r="73" spans="1:10" ht="14.5" customHeight="1" x14ac:dyDescent="0.2">
      <c r="A73" s="5" t="s">
        <v>24</v>
      </c>
      <c r="B73" s="35">
        <v>2016</v>
      </c>
      <c r="C73" s="30">
        <v>1593</v>
      </c>
      <c r="D73" s="30">
        <v>295869</v>
      </c>
      <c r="E73" s="30">
        <v>607360</v>
      </c>
      <c r="F73" s="30" t="s">
        <v>9</v>
      </c>
      <c r="G73" s="30">
        <v>857800</v>
      </c>
      <c r="H73" s="63"/>
      <c r="I73" s="16"/>
      <c r="J73" s="18"/>
    </row>
    <row r="74" spans="1:10" ht="15" customHeight="1" x14ac:dyDescent="0.2">
      <c r="A74" s="5" t="s">
        <v>24</v>
      </c>
      <c r="B74" s="35">
        <v>2017</v>
      </c>
      <c r="C74" s="30">
        <v>1667</v>
      </c>
      <c r="D74" s="30">
        <v>259078</v>
      </c>
      <c r="E74" s="30">
        <v>609825</v>
      </c>
      <c r="F74" s="30" t="s">
        <v>9</v>
      </c>
      <c r="G74" s="30">
        <v>539248</v>
      </c>
      <c r="H74" s="63"/>
      <c r="I74" s="16"/>
      <c r="J74" s="18"/>
    </row>
    <row r="75" spans="1:10" ht="14.5" customHeight="1" x14ac:dyDescent="0.2">
      <c r="A75" s="5" t="s">
        <v>24</v>
      </c>
      <c r="B75" s="35">
        <v>2018</v>
      </c>
      <c r="C75" s="30">
        <v>1781</v>
      </c>
      <c r="D75" s="30">
        <v>273214</v>
      </c>
      <c r="E75" s="30">
        <v>642258</v>
      </c>
      <c r="F75" s="30">
        <v>731921</v>
      </c>
      <c r="G75" s="30">
        <v>542244</v>
      </c>
      <c r="H75" s="63"/>
      <c r="I75" s="16"/>
      <c r="J75" s="18"/>
    </row>
    <row r="76" spans="1:10" ht="14.5" customHeight="1" x14ac:dyDescent="0.2">
      <c r="A76" s="5" t="s">
        <v>24</v>
      </c>
      <c r="B76" s="35">
        <v>2019</v>
      </c>
      <c r="C76" s="30">
        <v>1869</v>
      </c>
      <c r="D76" s="30">
        <v>264203</v>
      </c>
      <c r="E76" s="30">
        <v>664770</v>
      </c>
      <c r="F76" s="30">
        <v>753254</v>
      </c>
      <c r="G76" s="30">
        <v>467148</v>
      </c>
      <c r="H76" s="63"/>
      <c r="I76" s="16"/>
      <c r="J76" s="18"/>
    </row>
    <row r="77" spans="1:10" ht="14.5" customHeight="1" x14ac:dyDescent="0.2">
      <c r="A77" s="5" t="s">
        <v>24</v>
      </c>
      <c r="B77" s="35">
        <v>2020</v>
      </c>
      <c r="C77" s="33">
        <v>1874.61</v>
      </c>
      <c r="D77" s="30">
        <v>229890</v>
      </c>
      <c r="E77" s="30">
        <v>634858</v>
      </c>
      <c r="F77" s="30">
        <v>737024</v>
      </c>
      <c r="G77" s="30">
        <v>742743</v>
      </c>
      <c r="H77" s="63"/>
      <c r="I77" s="16"/>
      <c r="J77" s="18"/>
    </row>
    <row r="78" spans="1:10" ht="14.5" customHeight="1" x14ac:dyDescent="0.2">
      <c r="A78" s="5" t="s">
        <v>24</v>
      </c>
      <c r="B78" s="35">
        <v>2021</v>
      </c>
      <c r="C78" s="33">
        <v>2437.06</v>
      </c>
      <c r="D78" s="30">
        <v>298246</v>
      </c>
      <c r="E78" s="30">
        <v>695432</v>
      </c>
      <c r="F78" s="30">
        <v>924168</v>
      </c>
      <c r="G78" s="30">
        <v>1190267</v>
      </c>
      <c r="H78" s="63"/>
      <c r="I78" s="16"/>
      <c r="J78" s="18"/>
    </row>
    <row r="79" spans="1:10" ht="14.5" customHeight="1" x14ac:dyDescent="0.2">
      <c r="A79" s="5" t="s">
        <v>24</v>
      </c>
      <c r="B79" s="35">
        <v>2022</v>
      </c>
      <c r="C79" s="33">
        <v>2568</v>
      </c>
      <c r="D79" s="30">
        <v>312076</v>
      </c>
      <c r="E79" s="30">
        <v>574595</v>
      </c>
      <c r="F79" s="30">
        <v>909013</v>
      </c>
      <c r="G79" s="30">
        <v>2143685</v>
      </c>
      <c r="H79" s="63"/>
      <c r="I79" s="16"/>
      <c r="J79" s="18"/>
    </row>
    <row r="80" spans="1:10" ht="14.5" customHeight="1" x14ac:dyDescent="0.2">
      <c r="A80" s="5" t="s">
        <v>24</v>
      </c>
      <c r="B80" s="35">
        <v>2023</v>
      </c>
      <c r="C80" s="33">
        <v>2600.98</v>
      </c>
      <c r="D80" s="30">
        <v>246126</v>
      </c>
      <c r="E80" s="30">
        <v>254335</v>
      </c>
      <c r="F80" s="30">
        <v>952640</v>
      </c>
      <c r="G80" s="30">
        <v>2882063</v>
      </c>
      <c r="H80" s="63"/>
      <c r="I80" s="16"/>
      <c r="J80" s="18"/>
    </row>
    <row r="81" spans="1:10" ht="14.5" customHeight="1" x14ac:dyDescent="0.2">
      <c r="A81" s="5" t="s">
        <v>24</v>
      </c>
      <c r="B81" s="35">
        <v>2024</v>
      </c>
      <c r="C81" s="33">
        <v>2675.88</v>
      </c>
      <c r="D81" s="30">
        <v>230853</v>
      </c>
      <c r="E81" s="30">
        <v>159235</v>
      </c>
      <c r="F81" s="30">
        <v>995510</v>
      </c>
      <c r="G81" s="30">
        <v>2466395</v>
      </c>
      <c r="H81" s="63"/>
      <c r="I81" s="16"/>
      <c r="J81" s="18"/>
    </row>
    <row r="82" spans="1:10" ht="14.5" customHeight="1" x14ac:dyDescent="0.2">
      <c r="A82" s="7" t="s">
        <v>26</v>
      </c>
      <c r="B82" s="34">
        <v>2015</v>
      </c>
      <c r="C82" s="32">
        <f>8193/3.6</f>
        <v>2275.8333333333335</v>
      </c>
      <c r="D82" s="31">
        <v>575000</v>
      </c>
      <c r="E82" s="31">
        <v>748000</v>
      </c>
      <c r="F82" s="31" t="s">
        <v>9</v>
      </c>
      <c r="G82" s="31">
        <v>135000</v>
      </c>
      <c r="H82" s="62" t="s">
        <v>27</v>
      </c>
      <c r="I82" s="16"/>
      <c r="J82" s="18"/>
    </row>
    <row r="83" spans="1:10" ht="15" customHeight="1" x14ac:dyDescent="0.2">
      <c r="A83" s="5" t="s">
        <v>26</v>
      </c>
      <c r="B83" s="35">
        <v>2016</v>
      </c>
      <c r="C83" s="33">
        <f>8244/3.6</f>
        <v>2290</v>
      </c>
      <c r="D83" s="30">
        <v>552000</v>
      </c>
      <c r="E83" s="30">
        <v>739000</v>
      </c>
      <c r="F83" s="30" t="s">
        <v>9</v>
      </c>
      <c r="G83" s="30">
        <v>113000</v>
      </c>
      <c r="H83" s="63"/>
      <c r="I83" s="16"/>
      <c r="J83" s="18"/>
    </row>
    <row r="84" spans="1:10" ht="14.5" customHeight="1" x14ac:dyDescent="0.2">
      <c r="A84" s="5" t="s">
        <v>26</v>
      </c>
      <c r="B84" s="35">
        <v>2017</v>
      </c>
      <c r="C84" s="33">
        <f>8531/3.6</f>
        <v>2369.7222222222222</v>
      </c>
      <c r="D84" s="30">
        <v>605000</v>
      </c>
      <c r="E84" s="30">
        <v>756000</v>
      </c>
      <c r="F84" s="30" t="s">
        <v>9</v>
      </c>
      <c r="G84" s="30">
        <v>132000</v>
      </c>
      <c r="H84" s="63"/>
      <c r="I84" s="16"/>
      <c r="J84" s="18"/>
    </row>
    <row r="85" spans="1:10" ht="14.5" customHeight="1" x14ac:dyDescent="0.2">
      <c r="A85" s="5" t="s">
        <v>26</v>
      </c>
      <c r="B85" s="35">
        <v>2018</v>
      </c>
      <c r="C85" s="33">
        <f>8782/3.6</f>
        <v>2439.4444444444443</v>
      </c>
      <c r="D85" s="30">
        <v>644000</v>
      </c>
      <c r="E85" s="30">
        <v>791000</v>
      </c>
      <c r="F85" s="30">
        <v>824000</v>
      </c>
      <c r="G85" s="30">
        <v>137000</v>
      </c>
      <c r="H85" s="63"/>
      <c r="I85" s="16"/>
      <c r="J85" s="18"/>
    </row>
    <row r="86" spans="1:10" ht="14.5" customHeight="1" x14ac:dyDescent="0.2">
      <c r="A86" s="5" t="s">
        <v>26</v>
      </c>
      <c r="B86" s="35">
        <v>2019</v>
      </c>
      <c r="C86" s="33">
        <f>8926/3.6</f>
        <v>2479.4444444444443</v>
      </c>
      <c r="D86" s="30">
        <v>557000</v>
      </c>
      <c r="E86" s="30">
        <v>702000</v>
      </c>
      <c r="F86" s="30">
        <v>787000</v>
      </c>
      <c r="G86" s="30">
        <v>143000</v>
      </c>
      <c r="H86" s="63"/>
      <c r="I86" s="16"/>
      <c r="J86" s="18"/>
    </row>
    <row r="87" spans="1:10" ht="14.5" customHeight="1" x14ac:dyDescent="0.2">
      <c r="A87" s="5" t="s">
        <v>26</v>
      </c>
      <c r="B87" s="35">
        <v>2020</v>
      </c>
      <c r="C87" s="33">
        <f>9453/3.6</f>
        <v>2625.8333333333335</v>
      </c>
      <c r="D87" s="30">
        <v>486000</v>
      </c>
      <c r="E87" s="30">
        <v>564000</v>
      </c>
      <c r="F87" s="30">
        <v>782000</v>
      </c>
      <c r="G87" s="30">
        <v>86000</v>
      </c>
      <c r="H87" s="63"/>
      <c r="I87" s="16"/>
      <c r="J87" s="18"/>
    </row>
    <row r="88" spans="1:10" ht="14.5" customHeight="1" x14ac:dyDescent="0.2">
      <c r="A88" s="5" t="s">
        <v>26</v>
      </c>
      <c r="B88" s="35">
        <v>2021</v>
      </c>
      <c r="C88" s="33">
        <f>9845/3.6</f>
        <v>2734.7222222222222</v>
      </c>
      <c r="D88" s="30">
        <v>481000</v>
      </c>
      <c r="E88" s="30">
        <v>473000</v>
      </c>
      <c r="F88" s="30">
        <v>780000</v>
      </c>
      <c r="G88" s="30">
        <v>90000</v>
      </c>
      <c r="H88" s="63"/>
      <c r="I88" s="16"/>
      <c r="J88" s="18"/>
    </row>
    <row r="89" spans="1:10" ht="14.5" customHeight="1" x14ac:dyDescent="0.2">
      <c r="A89" s="5" t="s">
        <v>26</v>
      </c>
      <c r="B89" s="35">
        <v>2022</v>
      </c>
      <c r="C89" s="33">
        <f>10364/3.6</f>
        <v>2878.8888888888887</v>
      </c>
      <c r="D89" s="30">
        <v>504000</v>
      </c>
      <c r="E89" s="30">
        <v>358000</v>
      </c>
      <c r="F89" s="30">
        <v>857000</v>
      </c>
      <c r="G89" s="30">
        <v>111000</v>
      </c>
      <c r="H89" s="63"/>
      <c r="I89" s="16"/>
      <c r="J89" s="18"/>
    </row>
    <row r="90" spans="1:10" ht="14.5" customHeight="1" x14ac:dyDescent="0.2">
      <c r="A90" s="5" t="s">
        <v>26</v>
      </c>
      <c r="B90" s="35">
        <v>2023</v>
      </c>
      <c r="C90" s="33">
        <f>11076718/3600</f>
        <v>3076.866111111111</v>
      </c>
      <c r="D90" s="30">
        <v>514000</v>
      </c>
      <c r="E90" s="30">
        <v>272000</v>
      </c>
      <c r="F90" s="30">
        <v>902000</v>
      </c>
      <c r="G90" s="30">
        <v>120000</v>
      </c>
      <c r="H90" s="63"/>
      <c r="I90" s="16"/>
      <c r="J90" s="18"/>
    </row>
    <row r="91" spans="1:10" ht="14.5" customHeight="1" x14ac:dyDescent="0.2">
      <c r="A91" s="5" t="s">
        <v>26</v>
      </c>
      <c r="B91" s="35">
        <v>2024</v>
      </c>
      <c r="C91" s="33">
        <v>3356.5189999999998</v>
      </c>
      <c r="D91" s="30">
        <v>538136</v>
      </c>
      <c r="E91" s="30">
        <v>171347</v>
      </c>
      <c r="F91" s="30">
        <v>864057</v>
      </c>
      <c r="G91" s="30">
        <v>3837356</v>
      </c>
      <c r="H91" s="63"/>
      <c r="I91" s="16"/>
      <c r="J91" s="18"/>
    </row>
    <row r="92" spans="1:10" ht="15" customHeight="1" x14ac:dyDescent="0.2">
      <c r="A92" s="7" t="s">
        <v>28</v>
      </c>
      <c r="B92" s="34">
        <v>2015</v>
      </c>
      <c r="C92" s="31" t="s">
        <v>9</v>
      </c>
      <c r="D92" s="32">
        <f>398078*44/12</f>
        <v>1459619.3333333333</v>
      </c>
      <c r="E92" s="32">
        <f>246862*44/12</f>
        <v>905160.66666666663</v>
      </c>
      <c r="F92" s="31" t="s">
        <v>9</v>
      </c>
      <c r="G92" s="31" t="s">
        <v>9</v>
      </c>
      <c r="H92" s="62" t="s">
        <v>29</v>
      </c>
      <c r="I92" s="16"/>
      <c r="J92" s="18"/>
    </row>
    <row r="93" spans="1:10" ht="14.5" customHeight="1" x14ac:dyDescent="0.2">
      <c r="A93" s="5" t="s">
        <v>28</v>
      </c>
      <c r="B93" s="35">
        <v>2016</v>
      </c>
      <c r="C93" s="30" t="s">
        <v>9</v>
      </c>
      <c r="D93" s="33">
        <f>397834*44/12</f>
        <v>1458724.6666666667</v>
      </c>
      <c r="E93" s="30">
        <f>242307*44/12</f>
        <v>888459</v>
      </c>
      <c r="F93" s="30" t="s">
        <v>9</v>
      </c>
      <c r="G93" s="30" t="s">
        <v>9</v>
      </c>
      <c r="H93" s="63"/>
      <c r="I93" s="16"/>
      <c r="J93" s="18"/>
    </row>
    <row r="94" spans="1:10" ht="14.5" customHeight="1" x14ac:dyDescent="0.2">
      <c r="A94" s="5" t="s">
        <v>28</v>
      </c>
      <c r="B94" s="35">
        <v>2017</v>
      </c>
      <c r="C94" s="30" t="s">
        <v>9</v>
      </c>
      <c r="D94" s="30">
        <f>406578*44/12</f>
        <v>1490786</v>
      </c>
      <c r="E94" s="30">
        <f>231102*44/12</f>
        <v>847374</v>
      </c>
      <c r="F94" s="30" t="s">
        <v>9</v>
      </c>
      <c r="G94" s="30" t="s">
        <v>9</v>
      </c>
      <c r="H94" s="63"/>
      <c r="I94" s="16"/>
      <c r="J94" s="18"/>
    </row>
    <row r="95" spans="1:10" ht="14.5" customHeight="1" x14ac:dyDescent="0.2">
      <c r="A95" s="5" t="s">
        <v>28</v>
      </c>
      <c r="B95" s="35">
        <v>2018</v>
      </c>
      <c r="C95" s="30" t="s">
        <v>9</v>
      </c>
      <c r="D95" s="30">
        <f>1055054+75207+229295+131782</f>
        <v>1491338</v>
      </c>
      <c r="E95" s="30">
        <v>836836</v>
      </c>
      <c r="F95" s="30" t="s">
        <v>9</v>
      </c>
      <c r="G95" s="30" t="s">
        <v>9</v>
      </c>
      <c r="H95" s="63"/>
      <c r="I95" s="16"/>
      <c r="J95" s="18"/>
    </row>
    <row r="96" spans="1:10" ht="14.5" customHeight="1" x14ac:dyDescent="0.2">
      <c r="A96" s="5" t="s">
        <v>28</v>
      </c>
      <c r="B96" s="35">
        <v>2019</v>
      </c>
      <c r="C96" s="30" t="s">
        <v>9</v>
      </c>
      <c r="D96" s="30">
        <f>1050706+72393+223337+131904</f>
        <v>1478340</v>
      </c>
      <c r="E96" s="30">
        <v>778763</v>
      </c>
      <c r="F96" s="30" t="s">
        <v>9</v>
      </c>
      <c r="G96" s="30" t="s">
        <v>9</v>
      </c>
      <c r="H96" s="63"/>
      <c r="I96" s="16"/>
      <c r="J96" s="18"/>
    </row>
    <row r="97" spans="1:10" ht="14.5" customHeight="1" x14ac:dyDescent="0.2">
      <c r="A97" s="5" t="s">
        <v>28</v>
      </c>
      <c r="B97" s="35">
        <v>2020</v>
      </c>
      <c r="C97" s="33">
        <f>15108280/3600</f>
        <v>4196.7444444444445</v>
      </c>
      <c r="D97" s="36">
        <f>906084+47087+138671+73012</f>
        <v>1164854</v>
      </c>
      <c r="E97" s="36">
        <v>732175</v>
      </c>
      <c r="F97" s="30" t="s">
        <v>9</v>
      </c>
      <c r="G97" s="33">
        <f>(E97+D97)*0.1</f>
        <v>189702.90000000002</v>
      </c>
      <c r="H97" s="63"/>
      <c r="I97" s="16"/>
      <c r="J97" s="18"/>
    </row>
    <row r="98" spans="1:10" ht="14.5" customHeight="1" x14ac:dyDescent="0.2">
      <c r="A98" s="5" t="s">
        <v>28</v>
      </c>
      <c r="B98" s="35">
        <v>2021</v>
      </c>
      <c r="C98" s="33">
        <f>15301627/3600</f>
        <v>4250.4519444444441</v>
      </c>
      <c r="D98" s="36">
        <f>1049739+54803+150994+72523</f>
        <v>1328059</v>
      </c>
      <c r="E98" s="36">
        <v>755874</v>
      </c>
      <c r="F98" s="30" t="s">
        <v>9</v>
      </c>
      <c r="G98" s="33">
        <f>(21598+69294+118405)*44/12</f>
        <v>767422.33333333337</v>
      </c>
      <c r="H98" s="63"/>
      <c r="I98" s="16"/>
      <c r="J98" s="18"/>
    </row>
    <row r="99" spans="1:10" ht="14.5" customHeight="1" x14ac:dyDescent="0.2">
      <c r="A99" s="5" t="s">
        <v>28</v>
      </c>
      <c r="B99" s="35">
        <v>2022</v>
      </c>
      <c r="C99" s="33">
        <f>15614098/3600</f>
        <v>4337.2494444444446</v>
      </c>
      <c r="D99" s="36">
        <f>986038+55073+129947+76127+556</f>
        <v>1247741</v>
      </c>
      <c r="E99" s="36">
        <v>795026</v>
      </c>
      <c r="F99" s="30">
        <v>934912</v>
      </c>
      <c r="G99" s="30">
        <f>484369+237098+42101+917+4600+17596+19224+28901</f>
        <v>834806</v>
      </c>
      <c r="H99" s="63"/>
      <c r="I99" s="16"/>
      <c r="J99" s="18"/>
    </row>
    <row r="100" spans="1:10" ht="14.5" customHeight="1" x14ac:dyDescent="0.2">
      <c r="A100" s="5" t="s">
        <v>28</v>
      </c>
      <c r="B100" s="35">
        <v>2023</v>
      </c>
      <c r="C100" s="33">
        <f>13067563/3600</f>
        <v>3629.8786111111112</v>
      </c>
      <c r="D100" s="36">
        <f>736827+48557+101258+70295+566</f>
        <v>957503</v>
      </c>
      <c r="E100" s="36">
        <v>827339</v>
      </c>
      <c r="F100" s="30">
        <v>940079</v>
      </c>
      <c r="G100" s="30">
        <f>449425+ 20289+ 175037+ 17831+ 4333 +4647+26380</f>
        <v>697942</v>
      </c>
      <c r="H100" s="63"/>
      <c r="I100" s="16"/>
      <c r="J100" s="18"/>
    </row>
    <row r="101" spans="1:10" ht="15" customHeight="1" x14ac:dyDescent="0.2">
      <c r="A101" s="5" t="s">
        <v>28</v>
      </c>
      <c r="B101" s="35">
        <v>2024</v>
      </c>
      <c r="C101" s="33" t="s">
        <v>70</v>
      </c>
      <c r="D101" s="30">
        <f>236760 + 548700 + 47882 + 84320 + 70959 + 566</f>
        <v>989187</v>
      </c>
      <c r="E101" s="30">
        <f>644587</f>
        <v>644587</v>
      </c>
      <c r="F101" s="30">
        <v>729414</v>
      </c>
      <c r="G101" s="30">
        <f>398621 + 8618 + 177581 +25594 + 4374 + 9465 + 18955</f>
        <v>643208</v>
      </c>
      <c r="H101" s="63"/>
      <c r="I101" s="16"/>
      <c r="J101" s="18"/>
    </row>
    <row r="102" spans="1:10" ht="14.5" customHeight="1" x14ac:dyDescent="0.2">
      <c r="A102" s="7" t="s">
        <v>30</v>
      </c>
      <c r="B102" s="34">
        <v>2015</v>
      </c>
      <c r="C102" s="31" t="s">
        <v>9</v>
      </c>
      <c r="D102" s="31" t="s">
        <v>9</v>
      </c>
      <c r="E102" s="31" t="s">
        <v>9</v>
      </c>
      <c r="F102" s="31" t="s">
        <v>9</v>
      </c>
      <c r="G102" s="31" t="s">
        <v>9</v>
      </c>
      <c r="H102" s="62" t="s">
        <v>162</v>
      </c>
      <c r="I102" s="16"/>
      <c r="J102" s="18"/>
    </row>
    <row r="103" spans="1:10" ht="15" customHeight="1" x14ac:dyDescent="0.2">
      <c r="A103" s="5" t="s">
        <v>30</v>
      </c>
      <c r="B103" s="35">
        <v>2016</v>
      </c>
      <c r="C103" s="33">
        <v>424.54899999999998</v>
      </c>
      <c r="D103" s="30">
        <v>179507</v>
      </c>
      <c r="E103" s="30" t="s">
        <v>9</v>
      </c>
      <c r="F103" s="30">
        <v>167894</v>
      </c>
      <c r="G103" s="30">
        <v>3346</v>
      </c>
      <c r="H103" s="63"/>
      <c r="I103" s="16"/>
      <c r="J103" s="18"/>
    </row>
    <row r="104" spans="1:10" ht="14.5" customHeight="1" x14ac:dyDescent="0.2">
      <c r="A104" s="5" t="s">
        <v>30</v>
      </c>
      <c r="B104" s="35">
        <v>2017</v>
      </c>
      <c r="C104" s="33">
        <v>432.48500000000001</v>
      </c>
      <c r="D104" s="30">
        <v>211684</v>
      </c>
      <c r="E104" s="30">
        <v>122601</v>
      </c>
      <c r="F104" s="30">
        <v>154595</v>
      </c>
      <c r="G104" s="30">
        <v>146023704</v>
      </c>
      <c r="H104" s="63"/>
      <c r="I104" s="16"/>
      <c r="J104" s="18"/>
    </row>
    <row r="105" spans="1:10" ht="14.5" customHeight="1" x14ac:dyDescent="0.2">
      <c r="A105" s="5" t="s">
        <v>30</v>
      </c>
      <c r="B105" s="35">
        <v>2018</v>
      </c>
      <c r="C105" s="37">
        <v>469.39800000000002</v>
      </c>
      <c r="D105" s="30">
        <v>253411</v>
      </c>
      <c r="E105" s="30">
        <v>135418</v>
      </c>
      <c r="F105" s="30">
        <v>167247</v>
      </c>
      <c r="G105" s="30">
        <v>208574100</v>
      </c>
      <c r="H105" s="63"/>
      <c r="I105" s="16"/>
      <c r="J105" s="18"/>
    </row>
    <row r="106" spans="1:10" ht="14.5" customHeight="1" x14ac:dyDescent="0.2">
      <c r="A106" s="5" t="s">
        <v>30</v>
      </c>
      <c r="B106" s="35">
        <v>2019</v>
      </c>
      <c r="C106" s="33">
        <v>393.40600000000001</v>
      </c>
      <c r="D106" s="30">
        <v>229617</v>
      </c>
      <c r="E106" s="30">
        <v>85721</v>
      </c>
      <c r="F106" s="30">
        <v>115925</v>
      </c>
      <c r="G106" s="30">
        <v>219554297</v>
      </c>
      <c r="H106" s="63"/>
      <c r="I106" s="16"/>
      <c r="J106" s="18"/>
    </row>
    <row r="107" spans="1:10" ht="14.5" customHeight="1" x14ac:dyDescent="0.2">
      <c r="A107" s="5" t="s">
        <v>30</v>
      </c>
      <c r="B107" s="35">
        <v>2020</v>
      </c>
      <c r="C107" s="33">
        <v>385.53699999999998</v>
      </c>
      <c r="D107" s="30">
        <v>271005</v>
      </c>
      <c r="E107" s="30">
        <v>81490</v>
      </c>
      <c r="F107" s="30">
        <v>110707</v>
      </c>
      <c r="G107" s="30">
        <v>181835442</v>
      </c>
      <c r="H107" s="63"/>
      <c r="I107" s="16"/>
      <c r="J107" s="18"/>
    </row>
    <row r="108" spans="1:10" ht="14.5" customHeight="1" x14ac:dyDescent="0.2">
      <c r="A108" s="5" t="s">
        <v>30</v>
      </c>
      <c r="B108" s="35">
        <v>2021</v>
      </c>
      <c r="C108" s="33">
        <v>411.80700000000002</v>
      </c>
      <c r="D108" s="30">
        <v>344749</v>
      </c>
      <c r="E108" s="30">
        <v>88549</v>
      </c>
      <c r="F108" s="30">
        <v>96860</v>
      </c>
      <c r="G108" s="30">
        <v>196750887</v>
      </c>
      <c r="H108" s="63"/>
      <c r="I108" s="16"/>
      <c r="J108" s="18"/>
    </row>
    <row r="109" spans="1:10" ht="14.5" customHeight="1" x14ac:dyDescent="0.2">
      <c r="A109" s="5" t="s">
        <v>30</v>
      </c>
      <c r="B109" s="35">
        <v>2022</v>
      </c>
      <c r="C109" s="33">
        <v>466.77300000000002</v>
      </c>
      <c r="D109" s="30">
        <v>292642</v>
      </c>
      <c r="E109" s="30">
        <v>96213</v>
      </c>
      <c r="F109" s="30">
        <v>109693</v>
      </c>
      <c r="G109" s="30">
        <v>300920068</v>
      </c>
      <c r="H109" s="63"/>
      <c r="I109" s="16"/>
      <c r="J109" s="18"/>
    </row>
    <row r="110" spans="1:10" ht="15" customHeight="1" x14ac:dyDescent="0.2">
      <c r="A110" s="5" t="s">
        <v>30</v>
      </c>
      <c r="B110" s="35">
        <v>2023</v>
      </c>
      <c r="C110" s="33">
        <f>593.352</f>
        <v>593.35199999999998</v>
      </c>
      <c r="D110" s="30">
        <v>346188</v>
      </c>
      <c r="E110" s="35">
        <v>113541</v>
      </c>
      <c r="F110" s="30">
        <v>131167</v>
      </c>
      <c r="G110" s="30">
        <v>307915772</v>
      </c>
      <c r="H110" s="63"/>
      <c r="I110" s="16"/>
      <c r="J110" s="18"/>
    </row>
    <row r="111" spans="1:10" ht="14.5" customHeight="1" x14ac:dyDescent="0.2">
      <c r="A111" s="5" t="s">
        <v>30</v>
      </c>
      <c r="B111" s="35">
        <v>2024</v>
      </c>
      <c r="C111" s="33">
        <v>676</v>
      </c>
      <c r="D111" s="30">
        <v>143754</v>
      </c>
      <c r="E111" s="35">
        <v>132084</v>
      </c>
      <c r="F111" s="30">
        <v>143147</v>
      </c>
      <c r="G111" s="30">
        <v>173155039</v>
      </c>
      <c r="H111" s="63"/>
      <c r="I111" s="16"/>
      <c r="J111" s="18"/>
    </row>
    <row r="112" spans="1:10" ht="14.5" customHeight="1" x14ac:dyDescent="0.2">
      <c r="A112" s="7" t="s">
        <v>31</v>
      </c>
      <c r="B112" s="34">
        <v>2015</v>
      </c>
      <c r="C112" s="34" t="s">
        <v>9</v>
      </c>
      <c r="D112" s="31">
        <v>354081</v>
      </c>
      <c r="E112" s="31">
        <v>880126</v>
      </c>
      <c r="F112" s="31" t="s">
        <v>9</v>
      </c>
      <c r="G112" s="31" t="s">
        <v>9</v>
      </c>
      <c r="H112" s="62" t="s">
        <v>32</v>
      </c>
      <c r="I112" s="16"/>
      <c r="J112" s="18"/>
    </row>
    <row r="113" spans="1:10" ht="15" customHeight="1" x14ac:dyDescent="0.2">
      <c r="A113" s="5" t="s">
        <v>31</v>
      </c>
      <c r="B113" s="35">
        <v>2016</v>
      </c>
      <c r="C113" s="35" t="s">
        <v>9</v>
      </c>
      <c r="D113" s="30">
        <v>379272</v>
      </c>
      <c r="E113" s="30">
        <v>973173</v>
      </c>
      <c r="F113" s="30" t="s">
        <v>9</v>
      </c>
      <c r="G113" s="30" t="s">
        <v>9</v>
      </c>
      <c r="H113" s="63"/>
      <c r="I113" s="16"/>
      <c r="J113" s="18"/>
    </row>
    <row r="114" spans="1:10" ht="15" customHeight="1" x14ac:dyDescent="0.2">
      <c r="A114" s="5" t="s">
        <v>31</v>
      </c>
      <c r="B114" s="35">
        <v>2017</v>
      </c>
      <c r="C114" s="35" t="s">
        <v>9</v>
      </c>
      <c r="D114" s="30">
        <v>462071</v>
      </c>
      <c r="E114" s="30">
        <v>1333998</v>
      </c>
      <c r="F114" s="30" t="s">
        <v>9</v>
      </c>
      <c r="G114" s="30" t="s">
        <v>9</v>
      </c>
      <c r="H114" s="63"/>
      <c r="I114" s="16"/>
      <c r="J114" s="18"/>
    </row>
    <row r="115" spans="1:10" ht="15" customHeight="1" x14ac:dyDescent="0.2">
      <c r="A115" s="5" t="s">
        <v>31</v>
      </c>
      <c r="B115" s="35">
        <v>2018</v>
      </c>
      <c r="C115" s="35" t="s">
        <v>9</v>
      </c>
      <c r="D115" s="30">
        <v>425706</v>
      </c>
      <c r="E115" s="30">
        <v>1375520</v>
      </c>
      <c r="F115" s="30" t="s">
        <v>9</v>
      </c>
      <c r="G115" s="30" t="s">
        <v>9</v>
      </c>
      <c r="H115" s="63"/>
      <c r="I115" s="16"/>
      <c r="J115" s="18"/>
    </row>
    <row r="116" spans="1:10" ht="14.5" customHeight="1" x14ac:dyDescent="0.2">
      <c r="A116" s="5" t="s">
        <v>31</v>
      </c>
      <c r="B116" s="35">
        <v>2019</v>
      </c>
      <c r="C116" s="37">
        <v>1752.23</v>
      </c>
      <c r="D116" s="30">
        <v>431212</v>
      </c>
      <c r="E116" s="30">
        <v>1291569</v>
      </c>
      <c r="F116" s="30" t="s">
        <v>9</v>
      </c>
      <c r="G116" s="30" t="s">
        <v>9</v>
      </c>
      <c r="H116" s="63"/>
      <c r="I116" s="16"/>
      <c r="J116" s="18"/>
    </row>
    <row r="117" spans="1:10" ht="14.5" customHeight="1" x14ac:dyDescent="0.2">
      <c r="A117" s="5" t="s">
        <v>31</v>
      </c>
      <c r="B117" s="35">
        <v>2020</v>
      </c>
      <c r="C117" s="37">
        <v>2064.7399999999998</v>
      </c>
      <c r="D117" s="30">
        <v>550105</v>
      </c>
      <c r="E117" s="30">
        <v>1579152</v>
      </c>
      <c r="F117" s="30" t="s">
        <v>9</v>
      </c>
      <c r="G117" s="30" t="s">
        <v>9</v>
      </c>
      <c r="H117" s="63"/>
      <c r="I117" s="16"/>
      <c r="J117" s="18"/>
    </row>
    <row r="118" spans="1:10" ht="14.5" customHeight="1" x14ac:dyDescent="0.2">
      <c r="A118" s="5" t="s">
        <v>31</v>
      </c>
      <c r="B118" s="35">
        <v>2021</v>
      </c>
      <c r="C118" s="37">
        <v>2887.69</v>
      </c>
      <c r="D118" s="30">
        <v>680308</v>
      </c>
      <c r="E118" s="30">
        <v>1558785</v>
      </c>
      <c r="F118" s="30" t="s">
        <v>9</v>
      </c>
      <c r="G118" s="30" t="s">
        <v>9</v>
      </c>
      <c r="H118" s="63"/>
      <c r="I118" s="16"/>
      <c r="J118" s="18"/>
    </row>
    <row r="119" spans="1:10" ht="15" customHeight="1" x14ac:dyDescent="0.2">
      <c r="A119" s="5" t="s">
        <v>31</v>
      </c>
      <c r="B119" s="35">
        <v>2022</v>
      </c>
      <c r="C119" s="37">
        <v>3376.52</v>
      </c>
      <c r="D119" s="30">
        <v>823838</v>
      </c>
      <c r="E119" s="30">
        <v>1734583</v>
      </c>
      <c r="F119" s="30" t="s">
        <v>9</v>
      </c>
      <c r="G119" s="30" t="s">
        <v>9</v>
      </c>
      <c r="H119" s="63"/>
      <c r="I119" s="16"/>
      <c r="J119" s="18"/>
    </row>
    <row r="120" spans="1:10" ht="14.5" customHeight="1" x14ac:dyDescent="0.2">
      <c r="A120" s="5" t="s">
        <v>31</v>
      </c>
      <c r="B120" s="35">
        <v>2023</v>
      </c>
      <c r="C120" s="38">
        <v>3717</v>
      </c>
      <c r="D120" s="30">
        <v>843517</v>
      </c>
      <c r="E120" s="30">
        <v>1764422</v>
      </c>
      <c r="F120" s="30" t="s">
        <v>9</v>
      </c>
      <c r="G120" s="30" t="s">
        <v>9</v>
      </c>
      <c r="H120" s="63"/>
      <c r="I120" s="16"/>
      <c r="J120" s="18"/>
    </row>
    <row r="121" spans="1:10" ht="14.5" customHeight="1" x14ac:dyDescent="0.2">
      <c r="A121" s="5" t="s">
        <v>31</v>
      </c>
      <c r="B121" s="35">
        <v>2024</v>
      </c>
      <c r="C121" s="38">
        <f>(499588.5+31901.38+36265.2)/122.835</f>
        <v>4622.0953311352623</v>
      </c>
      <c r="D121" s="30">
        <v>823765</v>
      </c>
      <c r="E121" s="30">
        <v>2186179</v>
      </c>
      <c r="F121" s="30" t="s">
        <v>9</v>
      </c>
      <c r="G121" s="30" t="s">
        <v>9</v>
      </c>
      <c r="H121" s="63"/>
      <c r="I121" s="16"/>
      <c r="J121" s="18"/>
    </row>
    <row r="122" spans="1:10" ht="14.5" customHeight="1" x14ac:dyDescent="0.2">
      <c r="A122" s="7" t="s">
        <v>33</v>
      </c>
      <c r="B122" s="34">
        <v>2015</v>
      </c>
      <c r="C122" s="39">
        <f>57052383/9600</f>
        <v>5942.9565624999996</v>
      </c>
      <c r="D122" s="31">
        <v>1889050</v>
      </c>
      <c r="E122" s="31" t="s">
        <v>9</v>
      </c>
      <c r="F122" s="31">
        <v>2844283</v>
      </c>
      <c r="G122" s="31">
        <v>674301</v>
      </c>
      <c r="H122" s="62" t="s">
        <v>34</v>
      </c>
      <c r="I122" s="16"/>
      <c r="J122" s="18"/>
    </row>
    <row r="123" spans="1:10" ht="14.5" customHeight="1" x14ac:dyDescent="0.2">
      <c r="A123" s="5" t="s">
        <v>33</v>
      </c>
      <c r="B123" s="35">
        <v>2016</v>
      </c>
      <c r="C123" s="38">
        <f>64601509/9600</f>
        <v>6729.3238541666669</v>
      </c>
      <c r="D123" s="30">
        <v>1901570</v>
      </c>
      <c r="E123" s="30" t="s">
        <v>9</v>
      </c>
      <c r="F123" s="30">
        <v>3290035</v>
      </c>
      <c r="G123" s="30">
        <v>73755</v>
      </c>
      <c r="H123" s="63"/>
      <c r="I123" s="16"/>
      <c r="J123" s="18"/>
    </row>
    <row r="124" spans="1:10" ht="14.5" customHeight="1" x14ac:dyDescent="0.2">
      <c r="A124" s="5" t="s">
        <v>33</v>
      </c>
      <c r="B124" s="35">
        <v>2017</v>
      </c>
      <c r="C124" s="38">
        <f>70424815/9600</f>
        <v>7335.9182291666666</v>
      </c>
      <c r="D124" s="30">
        <v>1709628</v>
      </c>
      <c r="E124" s="30" t="s">
        <v>9</v>
      </c>
      <c r="F124" s="30">
        <v>3378076</v>
      </c>
      <c r="G124" s="30">
        <v>111334</v>
      </c>
      <c r="H124" s="63"/>
      <c r="I124" s="16"/>
      <c r="J124" s="18"/>
    </row>
    <row r="125" spans="1:10" ht="14.5" customHeight="1" x14ac:dyDescent="0.2">
      <c r="A125" s="5" t="s">
        <v>33</v>
      </c>
      <c r="B125" s="35">
        <v>2018</v>
      </c>
      <c r="C125" s="38">
        <f>83978734/9600</f>
        <v>8747.7847916666669</v>
      </c>
      <c r="D125" s="30">
        <v>1958542</v>
      </c>
      <c r="E125" s="30" t="s">
        <v>9</v>
      </c>
      <c r="F125" s="30">
        <v>3955848</v>
      </c>
      <c r="G125" s="30">
        <v>109100</v>
      </c>
      <c r="H125" s="63"/>
      <c r="I125" s="16"/>
      <c r="J125" s="18"/>
    </row>
    <row r="126" spans="1:10" ht="14.5" customHeight="1" x14ac:dyDescent="0.2">
      <c r="A126" s="5" t="s">
        <v>33</v>
      </c>
      <c r="B126" s="35">
        <v>2019</v>
      </c>
      <c r="C126" s="38">
        <f>85270649/9600</f>
        <v>8882.3592708333326</v>
      </c>
      <c r="D126" s="30">
        <v>2126171</v>
      </c>
      <c r="E126" s="30" t="s">
        <v>9</v>
      </c>
      <c r="F126" s="30">
        <v>4713299</v>
      </c>
      <c r="G126" s="30">
        <v>2712370</v>
      </c>
      <c r="H126" s="63"/>
      <c r="I126" s="16"/>
      <c r="J126" s="18"/>
    </row>
    <row r="127" spans="1:10" ht="14.5" customHeight="1" x14ac:dyDescent="0.2">
      <c r="A127" s="5" t="s">
        <v>33</v>
      </c>
      <c r="B127" s="35">
        <v>2020</v>
      </c>
      <c r="C127" s="38">
        <f>90164014/9600</f>
        <v>9392.0847916666662</v>
      </c>
      <c r="D127" s="30">
        <v>2711409</v>
      </c>
      <c r="E127" s="30">
        <f>7548327-2711409</f>
        <v>4836918</v>
      </c>
      <c r="F127" s="30">
        <v>4836919</v>
      </c>
      <c r="G127" s="30">
        <v>2888458</v>
      </c>
      <c r="H127" s="63"/>
      <c r="I127" s="16"/>
      <c r="J127" s="18"/>
    </row>
    <row r="128" spans="1:10" ht="15" customHeight="1" x14ac:dyDescent="0.2">
      <c r="A128" s="5" t="s">
        <v>33</v>
      </c>
      <c r="B128" s="35">
        <v>2021</v>
      </c>
      <c r="C128" s="38">
        <f>103559671/9600</f>
        <v>10787.465729166666</v>
      </c>
      <c r="D128" s="30">
        <v>2628921</v>
      </c>
      <c r="E128" s="30">
        <f>7638465-D128</f>
        <v>5009544</v>
      </c>
      <c r="F128" s="30">
        <v>5214008</v>
      </c>
      <c r="G128" s="30">
        <v>3432777</v>
      </c>
      <c r="H128" s="63"/>
      <c r="I128" s="16"/>
      <c r="J128" s="18"/>
    </row>
    <row r="129" spans="1:10" ht="14.5" customHeight="1" x14ac:dyDescent="0.2">
      <c r="A129" s="5" t="s">
        <v>33</v>
      </c>
      <c r="B129" s="35">
        <v>2022</v>
      </c>
      <c r="C129" s="38">
        <f>108882947/9600</f>
        <v>11341.973645833334</v>
      </c>
      <c r="D129" s="30">
        <v>2942757</v>
      </c>
      <c r="E129" s="30">
        <f>7173550-D129</f>
        <v>4230793</v>
      </c>
      <c r="F129" s="30">
        <v>6139877</v>
      </c>
      <c r="G129" s="30">
        <v>3537388</v>
      </c>
      <c r="H129" s="63"/>
      <c r="I129" s="16"/>
      <c r="J129" s="18"/>
    </row>
    <row r="130" spans="1:10" ht="14.5" customHeight="1" x14ac:dyDescent="0.2">
      <c r="A130" s="5" t="s">
        <v>33</v>
      </c>
      <c r="B130" s="35">
        <v>2023</v>
      </c>
      <c r="C130" s="38">
        <f>105478631/9600</f>
        <v>10987.357395833333</v>
      </c>
      <c r="D130" s="30">
        <v>2338090</v>
      </c>
      <c r="E130" s="30">
        <f>5415283-D130</f>
        <v>3077193</v>
      </c>
      <c r="F130" s="36">
        <v>4986890</v>
      </c>
      <c r="G130" s="30">
        <v>2951027</v>
      </c>
      <c r="H130" s="63"/>
      <c r="I130" s="16"/>
      <c r="J130" s="18"/>
    </row>
    <row r="131" spans="1:10" ht="14.5" customHeight="1" x14ac:dyDescent="0.2">
      <c r="A131" s="5" t="s">
        <v>33</v>
      </c>
      <c r="B131" s="35">
        <v>2024</v>
      </c>
      <c r="C131" s="38">
        <f>106934161/9600</f>
        <v>11138.975104166666</v>
      </c>
      <c r="D131" s="30">
        <v>3762584</v>
      </c>
      <c r="E131" s="30">
        <f>5502136-3762584</f>
        <v>1739552</v>
      </c>
      <c r="F131" s="36">
        <v>3812119</v>
      </c>
      <c r="G131" s="30">
        <v>3732101</v>
      </c>
      <c r="H131" s="63"/>
      <c r="I131" s="16"/>
      <c r="J131" s="18"/>
    </row>
    <row r="132" spans="1:10" ht="14.5" customHeight="1" x14ac:dyDescent="0.2">
      <c r="A132" s="7" t="s">
        <v>35</v>
      </c>
      <c r="B132" s="34">
        <v>2015</v>
      </c>
      <c r="C132" s="31" t="s">
        <v>9</v>
      </c>
      <c r="D132" s="31">
        <v>46466</v>
      </c>
      <c r="E132" s="31">
        <v>424788</v>
      </c>
      <c r="F132" s="31">
        <v>424788</v>
      </c>
      <c r="G132" s="31" t="s">
        <v>9</v>
      </c>
      <c r="H132" s="62" t="s">
        <v>36</v>
      </c>
      <c r="I132" s="16"/>
      <c r="J132" s="18"/>
    </row>
    <row r="133" spans="1:10" ht="14.5" customHeight="1" x14ac:dyDescent="0.2">
      <c r="A133" s="5" t="s">
        <v>35</v>
      </c>
      <c r="B133" s="35">
        <v>2016</v>
      </c>
      <c r="C133" s="33" t="s">
        <v>9</v>
      </c>
      <c r="D133" s="30">
        <v>59604</v>
      </c>
      <c r="E133" s="30">
        <v>436077</v>
      </c>
      <c r="F133" s="30">
        <v>436077</v>
      </c>
      <c r="G133" s="30" t="s">
        <v>9</v>
      </c>
      <c r="H133" s="63"/>
      <c r="I133" s="16"/>
      <c r="J133" s="18"/>
    </row>
    <row r="134" spans="1:10" ht="14.5" customHeight="1" x14ac:dyDescent="0.2">
      <c r="A134" s="5" t="s">
        <v>35</v>
      </c>
      <c r="B134" s="35">
        <v>2017</v>
      </c>
      <c r="C134" s="33">
        <f>(3444627795+773691987)/3600000</f>
        <v>1171.7554950000001</v>
      </c>
      <c r="D134" s="30">
        <v>89378</v>
      </c>
      <c r="E134" s="30">
        <v>569192</v>
      </c>
      <c r="F134" s="30">
        <v>569192</v>
      </c>
      <c r="G134" s="30" t="s">
        <v>9</v>
      </c>
      <c r="H134" s="63"/>
      <c r="I134" s="16"/>
      <c r="J134" s="18"/>
    </row>
    <row r="135" spans="1:10" ht="14.5" customHeight="1" x14ac:dyDescent="0.2">
      <c r="A135" s="5" t="s">
        <v>35</v>
      </c>
      <c r="B135" s="35">
        <v>2018</v>
      </c>
      <c r="C135" s="33">
        <v>1179.4459999999999</v>
      </c>
      <c r="D135" s="30">
        <v>107183</v>
      </c>
      <c r="E135" s="30">
        <v>552566</v>
      </c>
      <c r="F135" s="30">
        <v>552566</v>
      </c>
      <c r="G135" s="30" t="s">
        <v>9</v>
      </c>
      <c r="H135" s="63"/>
      <c r="I135" s="16"/>
      <c r="J135" s="18"/>
    </row>
    <row r="136" spans="1:10" ht="14.5" customHeight="1" x14ac:dyDescent="0.2">
      <c r="A136" s="5" t="s">
        <v>35</v>
      </c>
      <c r="B136" s="35">
        <v>2019</v>
      </c>
      <c r="C136" s="33">
        <v>1233.191</v>
      </c>
      <c r="D136" s="30">
        <v>95781</v>
      </c>
      <c r="E136" s="30">
        <v>548034</v>
      </c>
      <c r="F136" s="30">
        <v>548034</v>
      </c>
      <c r="G136" s="30" t="s">
        <v>9</v>
      </c>
      <c r="H136" s="63"/>
      <c r="I136" s="16"/>
      <c r="J136" s="18"/>
    </row>
    <row r="137" spans="1:10" ht="15" customHeight="1" x14ac:dyDescent="0.2">
      <c r="A137" s="5" t="s">
        <v>35</v>
      </c>
      <c r="B137" s="35">
        <v>2020</v>
      </c>
      <c r="C137" s="33">
        <v>1267.711</v>
      </c>
      <c r="D137" s="30">
        <v>108217</v>
      </c>
      <c r="E137" s="30">
        <v>565128</v>
      </c>
      <c r="F137" s="30">
        <v>565128</v>
      </c>
      <c r="G137" s="30" t="s">
        <v>9</v>
      </c>
      <c r="H137" s="63"/>
      <c r="I137" s="16"/>
      <c r="J137" s="18"/>
    </row>
    <row r="138" spans="1:10" ht="14.5" customHeight="1" x14ac:dyDescent="0.2">
      <c r="A138" s="5" t="s">
        <v>35</v>
      </c>
      <c r="B138" s="35">
        <v>2021</v>
      </c>
      <c r="C138" s="33">
        <v>1269.511</v>
      </c>
      <c r="D138" s="30">
        <v>94996</v>
      </c>
      <c r="E138" s="30">
        <v>570181</v>
      </c>
      <c r="F138" s="30">
        <v>570181</v>
      </c>
      <c r="G138" s="30" t="s">
        <v>9</v>
      </c>
      <c r="H138" s="63"/>
      <c r="I138" s="16"/>
      <c r="J138" s="18"/>
    </row>
    <row r="139" spans="1:10" ht="14.5" customHeight="1" x14ac:dyDescent="0.2">
      <c r="A139" s="5" t="s">
        <v>35</v>
      </c>
      <c r="B139" s="35">
        <v>2022</v>
      </c>
      <c r="C139" s="33">
        <v>1309.316</v>
      </c>
      <c r="D139" s="30">
        <v>89694</v>
      </c>
      <c r="E139" s="30">
        <v>581994</v>
      </c>
      <c r="F139" s="30">
        <v>581994</v>
      </c>
      <c r="G139" s="30">
        <v>213668</v>
      </c>
      <c r="H139" s="63"/>
      <c r="I139" s="16"/>
      <c r="J139" s="18"/>
    </row>
    <row r="140" spans="1:10" ht="14.5" customHeight="1" x14ac:dyDescent="0.2">
      <c r="A140" s="5" t="s">
        <v>35</v>
      </c>
      <c r="B140" s="35">
        <v>2023</v>
      </c>
      <c r="C140" s="38">
        <f>1280</f>
        <v>1280</v>
      </c>
      <c r="D140" s="30">
        <v>49145</v>
      </c>
      <c r="E140" s="30">
        <f>583499-D140</f>
        <v>534354</v>
      </c>
      <c r="F140" s="30">
        <v>540850</v>
      </c>
      <c r="G140" s="30">
        <v>171863</v>
      </c>
      <c r="H140" s="63"/>
      <c r="I140" s="16"/>
      <c r="J140" s="18"/>
    </row>
    <row r="141" spans="1:10" ht="14.5" customHeight="1" x14ac:dyDescent="0.2">
      <c r="A141" s="5" t="s">
        <v>35</v>
      </c>
      <c r="B141" s="35">
        <v>2024</v>
      </c>
      <c r="C141" s="33">
        <v>1514</v>
      </c>
      <c r="D141" s="30">
        <v>65935</v>
      </c>
      <c r="E141" s="30">
        <v>640752</v>
      </c>
      <c r="F141" s="30">
        <v>647227</v>
      </c>
      <c r="G141" s="30">
        <v>214549</v>
      </c>
      <c r="H141" s="63"/>
      <c r="I141" s="16"/>
      <c r="J141" s="18"/>
    </row>
    <row r="142" spans="1:10" ht="14.5" customHeight="1" x14ac:dyDescent="0.2">
      <c r="A142" s="7" t="s">
        <v>37</v>
      </c>
      <c r="B142" s="34">
        <v>2015</v>
      </c>
      <c r="C142" s="31" t="s">
        <v>9</v>
      </c>
      <c r="D142" s="31" t="s">
        <v>9</v>
      </c>
      <c r="E142" s="31" t="s">
        <v>9</v>
      </c>
      <c r="F142" s="31" t="s">
        <v>9</v>
      </c>
      <c r="G142" s="31" t="s">
        <v>9</v>
      </c>
      <c r="H142" s="62"/>
      <c r="I142" s="16"/>
      <c r="J142" s="18"/>
    </row>
    <row r="143" spans="1:10" ht="14.5" customHeight="1" x14ac:dyDescent="0.2">
      <c r="A143" s="5" t="s">
        <v>37</v>
      </c>
      <c r="B143" s="35">
        <v>2016</v>
      </c>
      <c r="C143" s="30" t="s">
        <v>9</v>
      </c>
      <c r="D143" s="30" t="s">
        <v>9</v>
      </c>
      <c r="E143" s="30" t="s">
        <v>9</v>
      </c>
      <c r="F143" s="30" t="s">
        <v>9</v>
      </c>
      <c r="G143" s="30" t="s">
        <v>9</v>
      </c>
      <c r="H143" s="63"/>
      <c r="I143" s="16"/>
      <c r="J143" s="18"/>
    </row>
    <row r="144" spans="1:10" ht="14.5" customHeight="1" x14ac:dyDescent="0.2">
      <c r="A144" s="5" t="s">
        <v>37</v>
      </c>
      <c r="B144" s="35">
        <v>2017</v>
      </c>
      <c r="C144" s="30" t="s">
        <v>9</v>
      </c>
      <c r="D144" s="30" t="s">
        <v>9</v>
      </c>
      <c r="E144" s="30" t="s">
        <v>9</v>
      </c>
      <c r="F144" s="30" t="s">
        <v>9</v>
      </c>
      <c r="G144" s="30" t="s">
        <v>9</v>
      </c>
      <c r="H144" s="63"/>
      <c r="I144" s="16"/>
      <c r="J144" s="18"/>
    </row>
    <row r="145" spans="1:10" ht="14.5" customHeight="1" x14ac:dyDescent="0.2">
      <c r="A145" s="5" t="s">
        <v>37</v>
      </c>
      <c r="B145" s="35">
        <v>2018</v>
      </c>
      <c r="C145" s="30" t="s">
        <v>9</v>
      </c>
      <c r="D145" s="30">
        <v>15783</v>
      </c>
      <c r="E145" s="30">
        <v>419051</v>
      </c>
      <c r="F145" s="30" t="s">
        <v>9</v>
      </c>
      <c r="G145" s="30" t="s">
        <v>9</v>
      </c>
      <c r="H145" s="63"/>
      <c r="I145" s="16"/>
      <c r="J145" s="18"/>
    </row>
    <row r="146" spans="1:10" ht="15" customHeight="1" x14ac:dyDescent="0.2">
      <c r="A146" s="5" t="s">
        <v>37</v>
      </c>
      <c r="B146" s="35">
        <v>2019</v>
      </c>
      <c r="C146" s="30" t="s">
        <v>9</v>
      </c>
      <c r="D146" s="30">
        <v>16954</v>
      </c>
      <c r="E146" s="30">
        <v>432389</v>
      </c>
      <c r="F146" s="30" t="s">
        <v>9</v>
      </c>
      <c r="G146" s="30" t="s">
        <v>9</v>
      </c>
      <c r="H146" s="63"/>
      <c r="I146" s="16"/>
      <c r="J146" s="18"/>
    </row>
    <row r="147" spans="1:10" ht="14.5" customHeight="1" x14ac:dyDescent="0.2">
      <c r="A147" s="5" t="s">
        <v>37</v>
      </c>
      <c r="B147" s="35">
        <v>2020</v>
      </c>
      <c r="C147" s="30" t="s">
        <v>9</v>
      </c>
      <c r="D147" s="30">
        <v>18135</v>
      </c>
      <c r="E147" s="30">
        <v>430479</v>
      </c>
      <c r="F147" s="30" t="s">
        <v>9</v>
      </c>
      <c r="G147" s="30" t="s">
        <v>9</v>
      </c>
      <c r="H147" s="63"/>
      <c r="I147" s="16"/>
      <c r="J147" s="18"/>
    </row>
    <row r="148" spans="1:10" ht="14.5" customHeight="1" x14ac:dyDescent="0.2">
      <c r="A148" s="5" t="s">
        <v>37</v>
      </c>
      <c r="B148" s="35">
        <v>2021</v>
      </c>
      <c r="C148" s="30">
        <v>991.66300000000001</v>
      </c>
      <c r="D148" s="30">
        <v>24803</v>
      </c>
      <c r="E148" s="30">
        <v>697899</v>
      </c>
      <c r="F148" s="30" t="s">
        <v>9</v>
      </c>
      <c r="G148" s="30" t="s">
        <v>9</v>
      </c>
      <c r="H148" s="63"/>
      <c r="I148" s="16"/>
      <c r="J148" s="18"/>
    </row>
    <row r="149" spans="1:10" ht="14.5" customHeight="1" x14ac:dyDescent="0.2">
      <c r="A149" s="5" t="s">
        <v>37</v>
      </c>
      <c r="B149" s="35">
        <v>2022</v>
      </c>
      <c r="C149" s="30">
        <v>1065.002</v>
      </c>
      <c r="D149" s="30">
        <v>24877</v>
      </c>
      <c r="E149" s="30">
        <v>473060</v>
      </c>
      <c r="F149" s="30" t="s">
        <v>9</v>
      </c>
      <c r="G149" s="30" t="s">
        <v>9</v>
      </c>
      <c r="H149" s="63"/>
      <c r="I149" s="16"/>
      <c r="J149" s="18"/>
    </row>
    <row r="150" spans="1:10" ht="14.5" customHeight="1" x14ac:dyDescent="0.2">
      <c r="A150" s="5" t="s">
        <v>37</v>
      </c>
      <c r="B150" s="35">
        <v>2023</v>
      </c>
      <c r="C150" s="30">
        <v>1168.17</v>
      </c>
      <c r="D150" s="30">
        <v>22881</v>
      </c>
      <c r="E150" s="30">
        <v>514189</v>
      </c>
      <c r="F150" s="30" t="s">
        <v>9</v>
      </c>
      <c r="G150" s="30" t="s">
        <v>9</v>
      </c>
      <c r="H150" s="63"/>
      <c r="I150" s="16"/>
      <c r="J150" s="18"/>
    </row>
    <row r="151" spans="1:10" ht="14.5" customHeight="1" x14ac:dyDescent="0.2">
      <c r="A151" s="5" t="s">
        <v>37</v>
      </c>
      <c r="B151" s="35">
        <v>2024</v>
      </c>
      <c r="C151" s="30">
        <v>1272.33</v>
      </c>
      <c r="D151" s="30">
        <v>25331</v>
      </c>
      <c r="E151" s="30">
        <v>537156</v>
      </c>
      <c r="F151" s="30" t="s">
        <v>9</v>
      </c>
      <c r="G151" s="30" t="s">
        <v>9</v>
      </c>
      <c r="H151" s="63"/>
      <c r="I151" s="16"/>
      <c r="J151" s="18"/>
    </row>
    <row r="152" spans="1:10" ht="14.5" customHeight="1" x14ac:dyDescent="0.2">
      <c r="A152" s="7" t="s">
        <v>38</v>
      </c>
      <c r="B152" s="34">
        <v>2015</v>
      </c>
      <c r="C152" s="31" t="s">
        <v>9</v>
      </c>
      <c r="D152" s="31" t="s">
        <v>9</v>
      </c>
      <c r="E152" s="31" t="s">
        <v>9</v>
      </c>
      <c r="F152" s="31" t="s">
        <v>9</v>
      </c>
      <c r="G152" s="31" t="s">
        <v>9</v>
      </c>
      <c r="H152" s="62"/>
      <c r="I152" s="16"/>
      <c r="J152" s="18"/>
    </row>
    <row r="153" spans="1:10" ht="14.5" customHeight="1" x14ac:dyDescent="0.2">
      <c r="A153" s="5" t="s">
        <v>38</v>
      </c>
      <c r="B153" s="35">
        <v>2016</v>
      </c>
      <c r="C153" s="30" t="s">
        <v>9</v>
      </c>
      <c r="D153" s="30" t="s">
        <v>9</v>
      </c>
      <c r="E153" s="30" t="s">
        <v>9</v>
      </c>
      <c r="F153" s="30" t="s">
        <v>9</v>
      </c>
      <c r="G153" s="30" t="s">
        <v>9</v>
      </c>
      <c r="H153" s="63"/>
      <c r="I153" s="16"/>
      <c r="J153" s="18"/>
    </row>
    <row r="154" spans="1:10" ht="14.5" customHeight="1" x14ac:dyDescent="0.2">
      <c r="A154" s="5" t="s">
        <v>38</v>
      </c>
      <c r="B154" s="35">
        <v>2017</v>
      </c>
      <c r="C154" s="33">
        <v>2219.1669999999999</v>
      </c>
      <c r="D154" s="30">
        <f>1302628-E154</f>
        <v>193483</v>
      </c>
      <c r="E154" s="30">
        <v>1109145</v>
      </c>
      <c r="F154" s="30" t="s">
        <v>9</v>
      </c>
      <c r="G154" s="30" t="s">
        <v>9</v>
      </c>
      <c r="H154" s="63"/>
      <c r="I154" s="16"/>
      <c r="J154" s="18"/>
    </row>
    <row r="155" spans="1:10" ht="15" customHeight="1" x14ac:dyDescent="0.2">
      <c r="A155" s="5" t="s">
        <v>38</v>
      </c>
      <c r="B155" s="35">
        <v>2018</v>
      </c>
      <c r="C155" s="33">
        <v>2080.5059999999999</v>
      </c>
      <c r="D155" s="30">
        <f>1181568-E155</f>
        <v>164684</v>
      </c>
      <c r="E155" s="30">
        <v>1016884</v>
      </c>
      <c r="F155" s="30" t="s">
        <v>9</v>
      </c>
      <c r="G155" s="30" t="s">
        <v>9</v>
      </c>
      <c r="H155" s="63"/>
      <c r="I155" s="16"/>
      <c r="J155" s="18"/>
    </row>
    <row r="156" spans="1:10" ht="14.5" customHeight="1" x14ac:dyDescent="0.2">
      <c r="A156" s="5" t="s">
        <v>38</v>
      </c>
      <c r="B156" s="35">
        <v>2019</v>
      </c>
      <c r="C156" s="33">
        <v>1872.663</v>
      </c>
      <c r="D156" s="30">
        <f>1043123-E156</f>
        <v>128661</v>
      </c>
      <c r="E156" s="30">
        <v>914462</v>
      </c>
      <c r="F156" s="30" t="s">
        <v>9</v>
      </c>
      <c r="G156" s="30" t="s">
        <v>9</v>
      </c>
      <c r="H156" s="63"/>
      <c r="I156" s="16"/>
      <c r="J156" s="18"/>
    </row>
    <row r="157" spans="1:10" ht="14.5" customHeight="1" x14ac:dyDescent="0.2">
      <c r="A157" s="5" t="s">
        <v>38</v>
      </c>
      <c r="B157" s="35">
        <v>2020</v>
      </c>
      <c r="C157" s="33">
        <v>1833.087</v>
      </c>
      <c r="D157" s="36" t="s">
        <v>9</v>
      </c>
      <c r="E157" s="36" t="s">
        <v>9</v>
      </c>
      <c r="F157" s="30" t="s">
        <v>9</v>
      </c>
      <c r="G157" s="36" t="s">
        <v>9</v>
      </c>
      <c r="H157" s="63"/>
      <c r="I157" s="16"/>
      <c r="J157" s="18"/>
    </row>
    <row r="158" spans="1:10" ht="14.5" customHeight="1" x14ac:dyDescent="0.2">
      <c r="A158" s="5" t="s">
        <v>38</v>
      </c>
      <c r="B158" s="35">
        <v>2021</v>
      </c>
      <c r="C158" s="33">
        <v>1802.87</v>
      </c>
      <c r="D158" s="30">
        <v>198116</v>
      </c>
      <c r="E158" s="30">
        <v>781723</v>
      </c>
      <c r="F158" s="30" t="s">
        <v>9</v>
      </c>
      <c r="G158" s="30">
        <v>2491090</v>
      </c>
      <c r="H158" s="63"/>
      <c r="I158" s="16"/>
      <c r="J158" s="18"/>
    </row>
    <row r="159" spans="1:10" ht="14.5" customHeight="1" x14ac:dyDescent="0.2">
      <c r="A159" s="5" t="s">
        <v>38</v>
      </c>
      <c r="B159" s="35">
        <v>2022</v>
      </c>
      <c r="C159" s="33">
        <v>1781.5920000000001</v>
      </c>
      <c r="D159" s="30">
        <v>196261</v>
      </c>
      <c r="E159" s="30">
        <v>717422</v>
      </c>
      <c r="F159" s="30" t="s">
        <v>9</v>
      </c>
      <c r="G159" s="30">
        <v>2093087</v>
      </c>
      <c r="H159" s="63"/>
      <c r="I159" s="16"/>
      <c r="J159" s="18"/>
    </row>
    <row r="160" spans="1:10" ht="14.5" customHeight="1" x14ac:dyDescent="0.2">
      <c r="A160" s="5" t="s">
        <v>38</v>
      </c>
      <c r="B160" s="35">
        <v>2023</v>
      </c>
      <c r="C160" s="33">
        <v>1735.6489999999999</v>
      </c>
      <c r="D160" s="30">
        <v>156403</v>
      </c>
      <c r="E160" s="30">
        <v>647660</v>
      </c>
      <c r="F160" s="30" t="s">
        <v>9</v>
      </c>
      <c r="G160" s="30">
        <v>1694257</v>
      </c>
      <c r="H160" s="63"/>
      <c r="I160" s="16"/>
      <c r="J160" s="18"/>
    </row>
    <row r="161" spans="1:10" ht="14.5" customHeight="1" x14ac:dyDescent="0.2">
      <c r="A161" s="5" t="s">
        <v>38</v>
      </c>
      <c r="B161" s="35">
        <v>2024</v>
      </c>
      <c r="C161" s="33">
        <v>1621</v>
      </c>
      <c r="D161" s="30">
        <v>125385</v>
      </c>
      <c r="E161" s="30">
        <v>642550</v>
      </c>
      <c r="F161" s="30">
        <v>638962</v>
      </c>
      <c r="G161" s="30">
        <v>1472548</v>
      </c>
      <c r="H161" s="63"/>
      <c r="I161" s="16"/>
      <c r="J161" s="18"/>
    </row>
    <row r="162" spans="1:10" ht="14.5" customHeight="1" x14ac:dyDescent="0.2">
      <c r="A162" s="7" t="s">
        <v>39</v>
      </c>
      <c r="B162" s="34">
        <v>2015</v>
      </c>
      <c r="C162" s="31" t="s">
        <v>9</v>
      </c>
      <c r="D162" s="31" t="s">
        <v>9</v>
      </c>
      <c r="E162" s="31" t="s">
        <v>9</v>
      </c>
      <c r="F162" s="40" t="s">
        <v>9</v>
      </c>
      <c r="G162" s="31" t="s">
        <v>9</v>
      </c>
      <c r="H162" s="62"/>
      <c r="I162" s="16"/>
      <c r="J162" s="18"/>
    </row>
    <row r="163" spans="1:10" ht="14.5" customHeight="1" x14ac:dyDescent="0.2">
      <c r="A163" s="5" t="s">
        <v>39</v>
      </c>
      <c r="B163" s="35">
        <v>2016</v>
      </c>
      <c r="C163" s="30" t="s">
        <v>9</v>
      </c>
      <c r="D163" s="30" t="s">
        <v>9</v>
      </c>
      <c r="E163" s="30" t="s">
        <v>9</v>
      </c>
      <c r="F163" s="36" t="s">
        <v>9</v>
      </c>
      <c r="G163" s="30" t="s">
        <v>9</v>
      </c>
      <c r="H163" s="63"/>
      <c r="I163" s="16"/>
      <c r="J163" s="18"/>
    </row>
    <row r="164" spans="1:10" ht="15" customHeight="1" x14ac:dyDescent="0.2">
      <c r="A164" s="5" t="s">
        <v>39</v>
      </c>
      <c r="B164" s="35">
        <v>2017</v>
      </c>
      <c r="C164" s="33">
        <v>1021.607</v>
      </c>
      <c r="D164" s="30">
        <v>239000</v>
      </c>
      <c r="E164" s="30">
        <v>245000</v>
      </c>
      <c r="F164" s="36" t="s">
        <v>9</v>
      </c>
      <c r="G164" s="30">
        <v>3794</v>
      </c>
      <c r="H164" s="63"/>
      <c r="I164" s="16"/>
      <c r="J164" s="18"/>
    </row>
    <row r="165" spans="1:10" ht="14.5" customHeight="1" x14ac:dyDescent="0.2">
      <c r="A165" s="5" t="s">
        <v>39</v>
      </c>
      <c r="B165" s="35">
        <v>2018</v>
      </c>
      <c r="C165" s="33">
        <v>1040.5419999999999</v>
      </c>
      <c r="D165" s="30">
        <v>273800</v>
      </c>
      <c r="E165" s="30">
        <v>247000</v>
      </c>
      <c r="F165" s="36" t="s">
        <v>9</v>
      </c>
      <c r="G165" s="30">
        <v>4544</v>
      </c>
      <c r="H165" s="63"/>
      <c r="I165" s="16"/>
      <c r="J165" s="18"/>
    </row>
    <row r="166" spans="1:10" ht="14.5" customHeight="1" x14ac:dyDescent="0.2">
      <c r="A166" s="5" t="s">
        <v>39</v>
      </c>
      <c r="B166" s="35">
        <v>2019</v>
      </c>
      <c r="C166" s="33">
        <v>1001.056</v>
      </c>
      <c r="D166" s="30">
        <v>220300</v>
      </c>
      <c r="E166" s="30">
        <v>231100</v>
      </c>
      <c r="F166" s="36" t="s">
        <v>9</v>
      </c>
      <c r="G166" s="30">
        <v>124281</v>
      </c>
      <c r="H166" s="63"/>
      <c r="I166" s="16"/>
      <c r="J166" s="18"/>
    </row>
    <row r="167" spans="1:10" ht="14.5" customHeight="1" x14ac:dyDescent="0.2">
      <c r="A167" s="5" t="s">
        <v>39</v>
      </c>
      <c r="B167" s="35">
        <v>2020</v>
      </c>
      <c r="C167" s="33">
        <v>993.00199999999995</v>
      </c>
      <c r="D167" s="30">
        <v>202200</v>
      </c>
      <c r="E167" s="30">
        <v>234800</v>
      </c>
      <c r="F167" s="36" t="s">
        <v>9</v>
      </c>
      <c r="G167" s="30">
        <v>56447</v>
      </c>
      <c r="H167" s="63"/>
      <c r="I167" s="16"/>
      <c r="J167" s="18"/>
    </row>
    <row r="168" spans="1:10" ht="14.5" customHeight="1" x14ac:dyDescent="0.2">
      <c r="A168" s="5" t="s">
        <v>39</v>
      </c>
      <c r="B168" s="35">
        <v>2021</v>
      </c>
      <c r="C168" s="33">
        <v>955.899</v>
      </c>
      <c r="D168" s="30">
        <v>154500</v>
      </c>
      <c r="E168" s="30">
        <v>209500</v>
      </c>
      <c r="F168" s="36" t="s">
        <v>9</v>
      </c>
      <c r="G168" s="30">
        <v>179572</v>
      </c>
      <c r="H168" s="63"/>
      <c r="I168" s="16"/>
      <c r="J168" s="18"/>
    </row>
    <row r="169" spans="1:10" ht="14.5" customHeight="1" x14ac:dyDescent="0.2">
      <c r="A169" s="5" t="s">
        <v>39</v>
      </c>
      <c r="B169" s="35">
        <v>2022</v>
      </c>
      <c r="C169" s="33">
        <v>980.428</v>
      </c>
      <c r="D169" s="35">
        <v>139300</v>
      </c>
      <c r="E169" s="35">
        <v>194900</v>
      </c>
      <c r="F169" s="36" t="s">
        <v>9</v>
      </c>
      <c r="G169" s="30">
        <v>176567</v>
      </c>
      <c r="H169" s="63"/>
      <c r="I169" s="16"/>
      <c r="J169" s="18"/>
    </row>
    <row r="170" spans="1:10" ht="14.5" customHeight="1" x14ac:dyDescent="0.2">
      <c r="A170" s="5" t="s">
        <v>39</v>
      </c>
      <c r="B170" s="35">
        <v>2023</v>
      </c>
      <c r="C170" s="33">
        <v>1001.327</v>
      </c>
      <c r="D170" s="30">
        <v>134300</v>
      </c>
      <c r="E170" s="30">
        <v>204000</v>
      </c>
      <c r="F170" s="36" t="s">
        <v>9</v>
      </c>
      <c r="G170" s="30">
        <v>58074</v>
      </c>
      <c r="H170" s="63"/>
      <c r="I170" s="16"/>
      <c r="J170" s="18"/>
    </row>
    <row r="171" spans="1:10" ht="14.5" customHeight="1" x14ac:dyDescent="0.2">
      <c r="A171" s="5" t="s">
        <v>39</v>
      </c>
      <c r="B171" s="35">
        <v>2024</v>
      </c>
      <c r="C171" s="33">
        <v>1040</v>
      </c>
      <c r="D171" s="30">
        <v>127000</v>
      </c>
      <c r="E171" s="30">
        <v>203500</v>
      </c>
      <c r="F171" s="36" t="s">
        <v>9</v>
      </c>
      <c r="G171" s="30">
        <v>55788</v>
      </c>
      <c r="H171" s="63"/>
      <c r="I171" s="16"/>
      <c r="J171" s="18"/>
    </row>
    <row r="172" spans="1:10" ht="14.5" customHeight="1" x14ac:dyDescent="0.2">
      <c r="A172" s="7" t="s">
        <v>40</v>
      </c>
      <c r="B172" s="34">
        <v>2015</v>
      </c>
      <c r="C172" s="32">
        <v>494.10500000000002</v>
      </c>
      <c r="D172" s="31">
        <v>192854</v>
      </c>
      <c r="E172" s="31" t="s">
        <v>9</v>
      </c>
      <c r="F172" s="31">
        <v>179731</v>
      </c>
      <c r="G172" s="31" t="s">
        <v>9</v>
      </c>
      <c r="H172" s="62" t="s">
        <v>41</v>
      </c>
      <c r="I172" s="16"/>
      <c r="J172" s="18"/>
    </row>
    <row r="173" spans="1:10" ht="15" customHeight="1" x14ac:dyDescent="0.2">
      <c r="A173" s="5" t="s">
        <v>40</v>
      </c>
      <c r="B173" s="35">
        <v>2016</v>
      </c>
      <c r="C173" s="33">
        <v>854.91099999999994</v>
      </c>
      <c r="D173" s="30">
        <v>451140</v>
      </c>
      <c r="E173" s="30" t="s">
        <v>9</v>
      </c>
      <c r="F173" s="30">
        <v>338876</v>
      </c>
      <c r="G173" s="30" t="s">
        <v>9</v>
      </c>
      <c r="H173" s="63"/>
      <c r="I173" s="16"/>
      <c r="J173" s="18"/>
    </row>
    <row r="174" spans="1:10" ht="14.5" customHeight="1" x14ac:dyDescent="0.2">
      <c r="A174" s="5" t="s">
        <v>40</v>
      </c>
      <c r="B174" s="35">
        <v>2017</v>
      </c>
      <c r="C174" s="33">
        <v>837.97699999999998</v>
      </c>
      <c r="D174" s="30">
        <v>488043</v>
      </c>
      <c r="E174" s="30" t="s">
        <v>9</v>
      </c>
      <c r="F174" s="30">
        <v>281875</v>
      </c>
      <c r="G174" s="30" t="s">
        <v>9</v>
      </c>
      <c r="H174" s="63"/>
      <c r="I174" s="16"/>
      <c r="J174" s="18"/>
    </row>
    <row r="175" spans="1:10" ht="14.5" customHeight="1" x14ac:dyDescent="0.2">
      <c r="A175" s="5" t="s">
        <v>40</v>
      </c>
      <c r="B175" s="35">
        <v>2018</v>
      </c>
      <c r="C175" s="33">
        <v>1024.2249999999999</v>
      </c>
      <c r="D175" s="30">
        <v>529370</v>
      </c>
      <c r="E175" s="30" t="s">
        <v>9</v>
      </c>
      <c r="F175" s="30">
        <v>328915</v>
      </c>
      <c r="G175" s="30" t="s">
        <v>9</v>
      </c>
      <c r="H175" s="63"/>
      <c r="I175" s="16"/>
      <c r="J175" s="18"/>
    </row>
    <row r="176" spans="1:10" ht="14.5" customHeight="1" x14ac:dyDescent="0.2">
      <c r="A176" s="5" t="s">
        <v>40</v>
      </c>
      <c r="B176" s="35">
        <v>2019</v>
      </c>
      <c r="C176" s="33">
        <v>968.16899999999998</v>
      </c>
      <c r="D176" s="30">
        <v>425973</v>
      </c>
      <c r="E176" s="30" t="s">
        <v>9</v>
      </c>
      <c r="F176" s="30">
        <v>311490</v>
      </c>
      <c r="G176" s="30" t="s">
        <v>9</v>
      </c>
      <c r="H176" s="63"/>
      <c r="I176" s="16"/>
      <c r="J176" s="18"/>
    </row>
    <row r="177" spans="1:10" ht="14.5" customHeight="1" x14ac:dyDescent="0.2">
      <c r="A177" s="5" t="s">
        <v>40</v>
      </c>
      <c r="B177" s="35">
        <v>2020</v>
      </c>
      <c r="C177" s="33">
        <v>997.72900000000004</v>
      </c>
      <c r="D177" s="30">
        <v>348407</v>
      </c>
      <c r="E177" s="30" t="s">
        <v>9</v>
      </c>
      <c r="F177" s="30">
        <v>305341</v>
      </c>
      <c r="G177" s="30" t="s">
        <v>9</v>
      </c>
      <c r="H177" s="63"/>
      <c r="I177" s="16"/>
      <c r="J177" s="18"/>
    </row>
    <row r="178" spans="1:10" ht="14.5" customHeight="1" x14ac:dyDescent="0.2">
      <c r="A178" s="5" t="s">
        <v>40</v>
      </c>
      <c r="B178" s="35">
        <v>2021</v>
      </c>
      <c r="C178" s="33">
        <v>989.11800000000005</v>
      </c>
      <c r="D178" s="30">
        <v>407724</v>
      </c>
      <c r="E178" s="30" t="s">
        <v>9</v>
      </c>
      <c r="F178" s="30">
        <v>305162</v>
      </c>
      <c r="G178" s="30" t="s">
        <v>9</v>
      </c>
      <c r="H178" s="63"/>
      <c r="I178" s="16"/>
      <c r="J178" s="18"/>
    </row>
    <row r="179" spans="1:10" ht="14.5" customHeight="1" x14ac:dyDescent="0.2">
      <c r="A179" s="5" t="s">
        <v>40</v>
      </c>
      <c r="B179" s="35">
        <v>2022</v>
      </c>
      <c r="C179" s="33">
        <v>967.14800000000002</v>
      </c>
      <c r="D179" s="30">
        <v>424370</v>
      </c>
      <c r="E179" s="30" t="s">
        <v>9</v>
      </c>
      <c r="F179" s="30">
        <v>294100</v>
      </c>
      <c r="G179" s="30" t="s">
        <v>9</v>
      </c>
      <c r="H179" s="63"/>
      <c r="I179" s="16"/>
      <c r="J179" s="18"/>
    </row>
    <row r="180" spans="1:10" ht="14.5" customHeight="1" x14ac:dyDescent="0.2">
      <c r="A180" s="5" t="s">
        <v>40</v>
      </c>
      <c r="B180" s="35">
        <v>2023</v>
      </c>
      <c r="C180" s="33">
        <v>1001.826</v>
      </c>
      <c r="D180" s="36">
        <v>439683</v>
      </c>
      <c r="E180" s="30" t="s">
        <v>9</v>
      </c>
      <c r="F180" s="30">
        <v>248753</v>
      </c>
      <c r="G180" s="30" t="s">
        <v>9</v>
      </c>
      <c r="H180" s="63"/>
      <c r="I180" s="16"/>
      <c r="J180" s="18"/>
    </row>
    <row r="181" spans="1:10" ht="14.5" customHeight="1" x14ac:dyDescent="0.2">
      <c r="A181" s="5" t="s">
        <v>40</v>
      </c>
      <c r="B181" s="35">
        <v>2024</v>
      </c>
      <c r="C181" s="33">
        <v>987</v>
      </c>
      <c r="D181" s="30">
        <v>288193</v>
      </c>
      <c r="E181" s="30">
        <v>195632</v>
      </c>
      <c r="F181" s="30">
        <v>314625</v>
      </c>
      <c r="G181" s="30">
        <v>167636</v>
      </c>
      <c r="H181" s="63"/>
      <c r="I181" s="16"/>
      <c r="J181" s="18"/>
    </row>
    <row r="182" spans="1:10" ht="15" customHeight="1" x14ac:dyDescent="0.2">
      <c r="A182" s="7" t="s">
        <v>42</v>
      </c>
      <c r="B182" s="34">
        <v>2015</v>
      </c>
      <c r="C182" s="31" t="s">
        <v>9</v>
      </c>
      <c r="D182" s="31" t="s">
        <v>9</v>
      </c>
      <c r="E182" s="31" t="s">
        <v>9</v>
      </c>
      <c r="F182" s="31" t="s">
        <v>9</v>
      </c>
      <c r="G182" s="31" t="s">
        <v>9</v>
      </c>
      <c r="H182" s="62"/>
      <c r="I182" s="16"/>
      <c r="J182" s="18"/>
    </row>
    <row r="183" spans="1:10" ht="14.5" customHeight="1" x14ac:dyDescent="0.2">
      <c r="A183" s="5" t="s">
        <v>42</v>
      </c>
      <c r="B183" s="35">
        <v>2016</v>
      </c>
      <c r="C183" s="30" t="s">
        <v>9</v>
      </c>
      <c r="D183" s="30" t="s">
        <v>9</v>
      </c>
      <c r="E183" s="30" t="s">
        <v>9</v>
      </c>
      <c r="F183" s="30" t="s">
        <v>9</v>
      </c>
      <c r="G183" s="30" t="s">
        <v>9</v>
      </c>
      <c r="H183" s="63"/>
      <c r="I183" s="16"/>
      <c r="J183" s="18"/>
    </row>
    <row r="184" spans="1:10" ht="14.5" customHeight="1" x14ac:dyDescent="0.2">
      <c r="A184" s="5" t="s">
        <v>42</v>
      </c>
      <c r="B184" s="35">
        <v>2017</v>
      </c>
      <c r="C184" s="30" t="s">
        <v>9</v>
      </c>
      <c r="D184" s="30" t="s">
        <v>9</v>
      </c>
      <c r="E184" s="30" t="s">
        <v>9</v>
      </c>
      <c r="F184" s="30" t="s">
        <v>9</v>
      </c>
      <c r="G184" s="30" t="s">
        <v>9</v>
      </c>
      <c r="H184" s="63"/>
      <c r="I184" s="16"/>
      <c r="J184" s="18"/>
    </row>
    <row r="185" spans="1:10" ht="14.5" customHeight="1" x14ac:dyDescent="0.2">
      <c r="A185" s="5" t="s">
        <v>42</v>
      </c>
      <c r="B185" s="35">
        <v>2018</v>
      </c>
      <c r="C185" s="30" t="s">
        <v>9</v>
      </c>
      <c r="D185" s="30" t="s">
        <v>9</v>
      </c>
      <c r="E185" s="30" t="s">
        <v>9</v>
      </c>
      <c r="F185" s="30" t="s">
        <v>9</v>
      </c>
      <c r="G185" s="30" t="s">
        <v>9</v>
      </c>
      <c r="H185" s="63"/>
      <c r="I185" s="16"/>
      <c r="J185" s="18"/>
    </row>
    <row r="186" spans="1:10" ht="14.5" customHeight="1" x14ac:dyDescent="0.2">
      <c r="A186" s="5" t="s">
        <v>42</v>
      </c>
      <c r="B186" s="35">
        <v>2019</v>
      </c>
      <c r="C186" s="30" t="s">
        <v>9</v>
      </c>
      <c r="D186" s="30" t="s">
        <v>9</v>
      </c>
      <c r="E186" s="30" t="s">
        <v>9</v>
      </c>
      <c r="F186" s="30" t="s">
        <v>9</v>
      </c>
      <c r="G186" s="30" t="s">
        <v>9</v>
      </c>
      <c r="H186" s="63"/>
      <c r="I186" s="16"/>
      <c r="J186" s="18"/>
    </row>
    <row r="187" spans="1:10" ht="14.5" customHeight="1" x14ac:dyDescent="0.2">
      <c r="A187" s="5" t="s">
        <v>42</v>
      </c>
      <c r="B187" s="35">
        <v>2020</v>
      </c>
      <c r="C187" s="30" t="s">
        <v>9</v>
      </c>
      <c r="D187" s="33">
        <v>32145.1</v>
      </c>
      <c r="E187" s="33">
        <v>277652.09999999998</v>
      </c>
      <c r="F187" s="30" t="s">
        <v>9</v>
      </c>
      <c r="G187" s="30" t="s">
        <v>9</v>
      </c>
      <c r="H187" s="63"/>
      <c r="I187" s="16"/>
      <c r="J187" s="18"/>
    </row>
    <row r="188" spans="1:10" ht="14.5" customHeight="1" x14ac:dyDescent="0.2">
      <c r="A188" s="5" t="s">
        <v>42</v>
      </c>
      <c r="B188" s="35">
        <v>2021</v>
      </c>
      <c r="C188" s="30" t="s">
        <v>9</v>
      </c>
      <c r="D188" s="33">
        <v>113278.2</v>
      </c>
      <c r="E188" s="33">
        <v>257450.7</v>
      </c>
      <c r="F188" s="30" t="s">
        <v>9</v>
      </c>
      <c r="G188" s="30" t="s">
        <v>9</v>
      </c>
      <c r="H188" s="63"/>
      <c r="I188" s="16"/>
      <c r="J188" s="18"/>
    </row>
    <row r="189" spans="1:10" ht="14.5" customHeight="1" x14ac:dyDescent="0.2">
      <c r="A189" s="5" t="s">
        <v>42</v>
      </c>
      <c r="B189" s="35">
        <v>2022</v>
      </c>
      <c r="C189" s="30" t="s">
        <v>9</v>
      </c>
      <c r="D189" s="33">
        <f>115776</f>
        <v>115776</v>
      </c>
      <c r="E189" s="33">
        <f>290652.5</f>
        <v>290652.5</v>
      </c>
      <c r="F189" s="30" t="s">
        <v>9</v>
      </c>
      <c r="G189" s="30" t="s">
        <v>9</v>
      </c>
      <c r="H189" s="63"/>
      <c r="I189" s="16"/>
      <c r="J189" s="18"/>
    </row>
    <row r="190" spans="1:10" ht="14.5" customHeight="1" x14ac:dyDescent="0.2">
      <c r="A190" s="5" t="s">
        <v>42</v>
      </c>
      <c r="B190" s="35">
        <v>2023</v>
      </c>
      <c r="C190" s="30" t="s">
        <v>9</v>
      </c>
      <c r="D190" s="33">
        <f>137101.3</f>
        <v>137101.29999999999</v>
      </c>
      <c r="E190" s="33">
        <f>282623.5</f>
        <v>282623.5</v>
      </c>
      <c r="F190" s="30" t="s">
        <v>9</v>
      </c>
      <c r="G190" s="30" t="s">
        <v>9</v>
      </c>
      <c r="H190" s="63"/>
      <c r="I190" s="16"/>
      <c r="J190" s="18"/>
    </row>
    <row r="191" spans="1:10" ht="15" customHeight="1" x14ac:dyDescent="0.2">
      <c r="A191" s="5" t="s">
        <v>42</v>
      </c>
      <c r="B191" s="35">
        <v>2024</v>
      </c>
      <c r="C191" s="30" t="s">
        <v>9</v>
      </c>
      <c r="D191" s="33">
        <v>110864</v>
      </c>
      <c r="E191" s="33">
        <v>181371</v>
      </c>
      <c r="F191" s="30" t="s">
        <v>9</v>
      </c>
      <c r="G191" s="30" t="s">
        <v>9</v>
      </c>
      <c r="H191" s="63"/>
      <c r="I191" s="16"/>
      <c r="J191" s="18"/>
    </row>
    <row r="192" spans="1:10" ht="14.5" customHeight="1" x14ac:dyDescent="0.2">
      <c r="A192" s="7" t="s">
        <v>43</v>
      </c>
      <c r="B192" s="34">
        <v>2015</v>
      </c>
      <c r="C192" s="31" t="s">
        <v>9</v>
      </c>
      <c r="D192" s="31" t="s">
        <v>9</v>
      </c>
      <c r="E192" s="31" t="s">
        <v>9</v>
      </c>
      <c r="F192" s="31" t="s">
        <v>9</v>
      </c>
      <c r="G192" s="31" t="s">
        <v>9</v>
      </c>
      <c r="H192" s="62" t="s">
        <v>44</v>
      </c>
      <c r="I192" s="16"/>
      <c r="J192" s="18"/>
    </row>
    <row r="193" spans="1:27" ht="14.5" customHeight="1" x14ac:dyDescent="0.2">
      <c r="A193" s="5" t="s">
        <v>43</v>
      </c>
      <c r="B193" s="35">
        <v>2016</v>
      </c>
      <c r="C193" s="30" t="s">
        <v>9</v>
      </c>
      <c r="D193" s="30" t="s">
        <v>9</v>
      </c>
      <c r="E193" s="30" t="s">
        <v>9</v>
      </c>
      <c r="F193" s="30" t="s">
        <v>9</v>
      </c>
      <c r="G193" s="30" t="s">
        <v>9</v>
      </c>
      <c r="H193" s="63"/>
      <c r="I193" s="16"/>
      <c r="J193" s="18"/>
    </row>
    <row r="194" spans="1:27" ht="14.5" customHeight="1" x14ac:dyDescent="0.2">
      <c r="A194" s="5" t="s">
        <v>43</v>
      </c>
      <c r="B194" s="35">
        <v>2017</v>
      </c>
      <c r="C194" s="30" t="s">
        <v>9</v>
      </c>
      <c r="D194" s="30" t="s">
        <v>9</v>
      </c>
      <c r="E194" s="30" t="s">
        <v>9</v>
      </c>
      <c r="F194" s="30" t="s">
        <v>9</v>
      </c>
      <c r="G194" s="30" t="s">
        <v>9</v>
      </c>
      <c r="H194" s="63"/>
      <c r="I194" s="16"/>
      <c r="J194" s="18"/>
    </row>
    <row r="195" spans="1:27" ht="14.5" customHeight="1" x14ac:dyDescent="0.2">
      <c r="A195" s="5" t="s">
        <v>43</v>
      </c>
      <c r="B195" s="35">
        <v>2018</v>
      </c>
      <c r="C195" s="33">
        <f>1748039.2/3600</f>
        <v>485.56644444444441</v>
      </c>
      <c r="D195" s="33">
        <f>419583.74</f>
        <v>419583.74</v>
      </c>
      <c r="E195" s="33">
        <f>154575.08</f>
        <v>154575.07999999999</v>
      </c>
      <c r="F195" s="30" t="s">
        <v>9</v>
      </c>
      <c r="G195" s="30" t="s">
        <v>9</v>
      </c>
      <c r="H195" s="63"/>
      <c r="I195" s="16"/>
      <c r="J195" s="18"/>
    </row>
    <row r="196" spans="1:27" ht="14.5" customHeight="1" x14ac:dyDescent="0.2">
      <c r="A196" s="5" t="s">
        <v>43</v>
      </c>
      <c r="B196" s="35">
        <v>2019</v>
      </c>
      <c r="C196" s="33">
        <f>1733935.2/3600</f>
        <v>481.64866666666666</v>
      </c>
      <c r="D196" s="33">
        <f>397935.68</f>
        <v>397935.68</v>
      </c>
      <c r="E196" s="33">
        <f>148139.43</f>
        <v>148139.43</v>
      </c>
      <c r="F196" s="30" t="s">
        <v>9</v>
      </c>
      <c r="G196" s="30" t="s">
        <v>9</v>
      </c>
      <c r="H196" s="63"/>
      <c r="I196" s="16"/>
      <c r="J196" s="18"/>
      <c r="O196" s="3" t="s">
        <v>45</v>
      </c>
    </row>
    <row r="197" spans="1:27" ht="14.5" customHeight="1" x14ac:dyDescent="0.2">
      <c r="A197" s="5" t="s">
        <v>43</v>
      </c>
      <c r="B197" s="35">
        <v>2020</v>
      </c>
      <c r="C197" s="33">
        <f>1701857.1/3600</f>
        <v>472.73808333333335</v>
      </c>
      <c r="D197" s="33">
        <f>422019.01</f>
        <v>422019.01</v>
      </c>
      <c r="E197" s="33">
        <f>152157.79</f>
        <v>152157.79</v>
      </c>
      <c r="F197" s="30" t="s">
        <v>9</v>
      </c>
      <c r="G197" s="30" t="s">
        <v>9</v>
      </c>
      <c r="H197" s="63"/>
      <c r="I197" s="16"/>
      <c r="J197" s="18"/>
    </row>
    <row r="198" spans="1:27" ht="14.5" customHeight="1" x14ac:dyDescent="0.2">
      <c r="A198" s="5" t="s">
        <v>43</v>
      </c>
      <c r="B198" s="35">
        <v>2021</v>
      </c>
      <c r="C198" s="33" t="s">
        <v>9</v>
      </c>
      <c r="D198" s="30" t="s">
        <v>9</v>
      </c>
      <c r="E198" s="30" t="s">
        <v>9</v>
      </c>
      <c r="F198" s="30" t="s">
        <v>9</v>
      </c>
      <c r="G198" s="30" t="s">
        <v>9</v>
      </c>
      <c r="H198" s="63"/>
      <c r="I198" s="16"/>
      <c r="J198" s="18"/>
    </row>
    <row r="199" spans="1:27" ht="14.5" customHeight="1" x14ac:dyDescent="0.2">
      <c r="A199" s="5" t="s">
        <v>43</v>
      </c>
      <c r="B199" s="35">
        <v>2022</v>
      </c>
      <c r="C199" s="33">
        <f>1939744/3600</f>
        <v>538.81777777777779</v>
      </c>
      <c r="D199" s="30">
        <f>344000</f>
        <v>344000</v>
      </c>
      <c r="E199" s="30">
        <v>131000</v>
      </c>
      <c r="F199" s="30" t="s">
        <v>9</v>
      </c>
      <c r="G199" s="30" t="s">
        <v>9</v>
      </c>
      <c r="H199" s="63"/>
      <c r="I199" s="16"/>
      <c r="J199" s="19"/>
      <c r="K199" s="20"/>
      <c r="L199" s="20"/>
      <c r="M199" s="20"/>
      <c r="N199" s="20"/>
      <c r="O199" s="20"/>
      <c r="P199" s="20"/>
      <c r="Q199" s="20"/>
      <c r="R199" s="20"/>
      <c r="S199" s="20"/>
      <c r="T199" s="20"/>
      <c r="U199" s="20"/>
      <c r="V199" s="20"/>
      <c r="W199" s="20"/>
      <c r="X199" s="20"/>
      <c r="Y199" s="20"/>
      <c r="Z199" s="20"/>
      <c r="AA199" s="21"/>
    </row>
    <row r="200" spans="1:27" ht="15" customHeight="1" x14ac:dyDescent="0.2">
      <c r="A200" s="5" t="s">
        <v>43</v>
      </c>
      <c r="B200" s="35">
        <v>2023</v>
      </c>
      <c r="C200" s="33">
        <f>2265952/3600</f>
        <v>629.43111111111114</v>
      </c>
      <c r="D200" s="30">
        <f>257000</f>
        <v>257000</v>
      </c>
      <c r="E200" s="30">
        <f>155000</f>
        <v>155000</v>
      </c>
      <c r="F200" s="30" t="s">
        <v>9</v>
      </c>
      <c r="G200" s="30" t="s">
        <v>9</v>
      </c>
      <c r="H200" s="63"/>
      <c r="I200" s="16"/>
      <c r="J200" s="22"/>
      <c r="K200" s="56" t="s">
        <v>46</v>
      </c>
      <c r="L200" s="57"/>
      <c r="M200" s="57"/>
      <c r="N200" s="57"/>
      <c r="O200" s="57"/>
      <c r="P200" s="57"/>
      <c r="Q200" s="57"/>
      <c r="R200" s="57"/>
      <c r="S200" s="57"/>
      <c r="T200" s="57"/>
      <c r="U200" s="57"/>
      <c r="V200" s="57"/>
      <c r="W200" s="57"/>
      <c r="X200" s="57"/>
      <c r="Y200" s="57"/>
      <c r="Z200" s="58"/>
      <c r="AA200" s="23"/>
    </row>
    <row r="201" spans="1:27" ht="14.5" customHeight="1" x14ac:dyDescent="0.2">
      <c r="A201" s="5" t="s">
        <v>43</v>
      </c>
      <c r="B201" s="35">
        <v>2024</v>
      </c>
      <c r="C201" s="33" t="s">
        <v>9</v>
      </c>
      <c r="D201" s="30">
        <v>283699</v>
      </c>
      <c r="E201" s="30">
        <v>143207</v>
      </c>
      <c r="F201" s="30" t="s">
        <v>9</v>
      </c>
      <c r="G201" s="30">
        <v>32019</v>
      </c>
      <c r="H201" s="63"/>
      <c r="I201" s="16"/>
      <c r="J201" s="22"/>
      <c r="K201" s="13"/>
      <c r="L201" s="56" t="s">
        <v>47</v>
      </c>
      <c r="M201" s="57"/>
      <c r="N201" s="58"/>
      <c r="O201" s="56" t="s">
        <v>48</v>
      </c>
      <c r="P201" s="57"/>
      <c r="Q201" s="58"/>
      <c r="R201" s="56" t="s">
        <v>49</v>
      </c>
      <c r="S201" s="57"/>
      <c r="T201" s="58"/>
      <c r="U201" s="56" t="s">
        <v>50</v>
      </c>
      <c r="V201" s="57"/>
      <c r="W201" s="58"/>
      <c r="X201" s="56" t="s">
        <v>51</v>
      </c>
      <c r="Y201" s="57"/>
      <c r="Z201" s="58"/>
      <c r="AA201" s="23"/>
    </row>
    <row r="202" spans="1:27" ht="14.5" customHeight="1" x14ac:dyDescent="0.2">
      <c r="A202" s="7" t="s">
        <v>52</v>
      </c>
      <c r="B202" s="34">
        <v>2015</v>
      </c>
      <c r="C202" s="31" t="s">
        <v>9</v>
      </c>
      <c r="D202" s="31" t="s">
        <v>9</v>
      </c>
      <c r="E202" s="31" t="s">
        <v>9</v>
      </c>
      <c r="F202" s="31" t="s">
        <v>9</v>
      </c>
      <c r="G202" s="31" t="s">
        <v>9</v>
      </c>
      <c r="H202" s="62" t="s">
        <v>32</v>
      </c>
      <c r="I202" s="16"/>
      <c r="J202" s="22"/>
      <c r="K202" s="9"/>
      <c r="L202" s="9" t="s">
        <v>71</v>
      </c>
      <c r="M202" s="9" t="s">
        <v>72</v>
      </c>
      <c r="N202" s="9" t="s">
        <v>73</v>
      </c>
      <c r="O202" s="9" t="s">
        <v>74</v>
      </c>
      <c r="P202" s="9" t="s">
        <v>72</v>
      </c>
      <c r="Q202" s="9" t="s">
        <v>73</v>
      </c>
      <c r="R202" s="9" t="s">
        <v>71</v>
      </c>
      <c r="S202" s="9" t="s">
        <v>72</v>
      </c>
      <c r="T202" s="9" t="s">
        <v>73</v>
      </c>
      <c r="U202" s="9" t="s">
        <v>71</v>
      </c>
      <c r="V202" s="9" t="s">
        <v>72</v>
      </c>
      <c r="W202" s="9" t="s">
        <v>75</v>
      </c>
      <c r="X202" s="9" t="s">
        <v>74</v>
      </c>
      <c r="Y202" s="9" t="s">
        <v>72</v>
      </c>
      <c r="Z202" s="9" t="s">
        <v>75</v>
      </c>
      <c r="AA202" s="23"/>
    </row>
    <row r="203" spans="1:27" ht="14.5" customHeight="1" x14ac:dyDescent="0.2">
      <c r="A203" s="5" t="s">
        <v>52</v>
      </c>
      <c r="B203" s="35">
        <v>2016</v>
      </c>
      <c r="C203" s="30" t="s">
        <v>9</v>
      </c>
      <c r="D203" s="30" t="s">
        <v>9</v>
      </c>
      <c r="E203" s="30" t="s">
        <v>9</v>
      </c>
      <c r="F203" s="30" t="s">
        <v>9</v>
      </c>
      <c r="G203" s="30" t="s">
        <v>9</v>
      </c>
      <c r="H203" s="63"/>
      <c r="I203" s="16"/>
      <c r="J203" s="22"/>
      <c r="K203" s="8">
        <v>2015</v>
      </c>
      <c r="L203" s="12">
        <v>13629</v>
      </c>
      <c r="M203" s="45" t="s">
        <v>76</v>
      </c>
      <c r="N203" s="54">
        <v>0.88680000000000003</v>
      </c>
      <c r="O203" s="12">
        <v>16826</v>
      </c>
      <c r="P203" s="45" t="s">
        <v>77</v>
      </c>
      <c r="Q203" s="54" t="s">
        <v>140</v>
      </c>
      <c r="R203" s="12">
        <v>2329238</v>
      </c>
      <c r="S203" s="45" t="s">
        <v>78</v>
      </c>
      <c r="T203" s="54" t="s">
        <v>141</v>
      </c>
      <c r="U203" s="12">
        <v>7193032</v>
      </c>
      <c r="V203" s="45" t="s">
        <v>79</v>
      </c>
      <c r="W203" s="54" t="s">
        <v>142</v>
      </c>
      <c r="X203" s="12">
        <v>3004283</v>
      </c>
      <c r="Y203" s="45" t="s">
        <v>80</v>
      </c>
      <c r="Z203" s="50" t="s">
        <v>143</v>
      </c>
      <c r="AA203" s="23"/>
    </row>
    <row r="204" spans="1:27" ht="14.5" customHeight="1" x14ac:dyDescent="0.2">
      <c r="A204" s="5" t="s">
        <v>52</v>
      </c>
      <c r="B204" s="35">
        <v>2017</v>
      </c>
      <c r="C204" s="30" t="s">
        <v>9</v>
      </c>
      <c r="D204" s="30" t="s">
        <v>9</v>
      </c>
      <c r="E204" s="30" t="s">
        <v>9</v>
      </c>
      <c r="F204" s="30" t="s">
        <v>9</v>
      </c>
      <c r="G204" s="30" t="s">
        <v>9</v>
      </c>
      <c r="H204" s="63"/>
      <c r="I204" s="16"/>
      <c r="J204" s="22"/>
      <c r="K204" s="8">
        <v>2016</v>
      </c>
      <c r="L204" s="12">
        <v>14709</v>
      </c>
      <c r="M204" s="45" t="s">
        <v>81</v>
      </c>
      <c r="N204" s="54">
        <v>0.88680000000000003</v>
      </c>
      <c r="O204" s="12">
        <v>18203</v>
      </c>
      <c r="P204" s="45" t="s">
        <v>82</v>
      </c>
      <c r="Q204" s="54" t="s">
        <v>140</v>
      </c>
      <c r="R204" s="12">
        <v>2433077</v>
      </c>
      <c r="S204" s="45" t="s">
        <v>83</v>
      </c>
      <c r="T204" s="54" t="s">
        <v>141</v>
      </c>
      <c r="U204" s="12">
        <v>8400647</v>
      </c>
      <c r="V204" s="45" t="s">
        <v>84</v>
      </c>
      <c r="W204" s="54" t="s">
        <v>142</v>
      </c>
      <c r="X204" s="12">
        <v>1240272</v>
      </c>
      <c r="Y204" s="45" t="s">
        <v>85</v>
      </c>
      <c r="Z204" s="50" t="s">
        <v>143</v>
      </c>
      <c r="AA204" s="23"/>
    </row>
    <row r="205" spans="1:27" ht="14.5" customHeight="1" x14ac:dyDescent="0.2">
      <c r="A205" s="5" t="s">
        <v>52</v>
      </c>
      <c r="B205" s="35">
        <v>2018</v>
      </c>
      <c r="C205" s="30" t="s">
        <v>9</v>
      </c>
      <c r="D205" s="30" t="s">
        <v>9</v>
      </c>
      <c r="E205" s="30" t="s">
        <v>9</v>
      </c>
      <c r="F205" s="30" t="s">
        <v>9</v>
      </c>
      <c r="G205" s="30" t="s">
        <v>9</v>
      </c>
      <c r="H205" s="63"/>
      <c r="I205" s="16"/>
      <c r="J205" s="22"/>
      <c r="K205" s="8">
        <v>2017</v>
      </c>
      <c r="L205" s="12">
        <v>16362</v>
      </c>
      <c r="M205" s="45" t="s">
        <v>86</v>
      </c>
      <c r="N205" s="54">
        <v>0.88680000000000003</v>
      </c>
      <c r="O205" s="12">
        <v>20230</v>
      </c>
      <c r="P205" s="45" t="s">
        <v>87</v>
      </c>
      <c r="Q205" s="54" t="s">
        <v>140</v>
      </c>
      <c r="R205" s="12">
        <v>3494334</v>
      </c>
      <c r="S205" s="45" t="s">
        <v>88</v>
      </c>
      <c r="T205" s="54" t="s">
        <v>141</v>
      </c>
      <c r="U205" s="12">
        <v>9199258</v>
      </c>
      <c r="V205" s="45" t="s">
        <v>89</v>
      </c>
      <c r="W205" s="54" t="s">
        <v>142</v>
      </c>
      <c r="X205" s="12">
        <v>2396875</v>
      </c>
      <c r="Y205" s="45" t="s">
        <v>90</v>
      </c>
      <c r="Z205" s="50" t="s">
        <v>143</v>
      </c>
      <c r="AA205" s="23"/>
    </row>
    <row r="206" spans="1:27" ht="14.5" customHeight="1" x14ac:dyDescent="0.2">
      <c r="A206" s="5" t="s">
        <v>52</v>
      </c>
      <c r="B206" s="35">
        <v>2019</v>
      </c>
      <c r="C206" s="30" t="s">
        <v>9</v>
      </c>
      <c r="D206" s="30" t="s">
        <v>9</v>
      </c>
      <c r="E206" s="30" t="s">
        <v>9</v>
      </c>
      <c r="F206" s="30" t="s">
        <v>9</v>
      </c>
      <c r="G206" s="30" t="s">
        <v>9</v>
      </c>
      <c r="H206" s="63"/>
      <c r="I206" s="16"/>
      <c r="J206" s="22"/>
      <c r="K206" s="8">
        <v>2018</v>
      </c>
      <c r="L206" s="12">
        <v>18231</v>
      </c>
      <c r="M206" s="45" t="s">
        <v>91</v>
      </c>
      <c r="N206" s="54">
        <v>0.88680000000000003</v>
      </c>
      <c r="O206" s="12">
        <v>22484</v>
      </c>
      <c r="P206" s="45" t="s">
        <v>92</v>
      </c>
      <c r="Q206" s="54" t="s">
        <v>140</v>
      </c>
      <c r="R206" s="12">
        <v>4625134</v>
      </c>
      <c r="S206" s="45" t="s">
        <v>93</v>
      </c>
      <c r="T206" s="54" t="s">
        <v>141</v>
      </c>
      <c r="U206" s="12">
        <v>9558633</v>
      </c>
      <c r="V206" s="45" t="s">
        <v>94</v>
      </c>
      <c r="W206" s="54" t="s">
        <v>142</v>
      </c>
      <c r="X206" s="12">
        <v>2579455</v>
      </c>
      <c r="Y206" s="45" t="s">
        <v>95</v>
      </c>
      <c r="Z206" s="50" t="s">
        <v>143</v>
      </c>
      <c r="AA206" s="23"/>
    </row>
    <row r="207" spans="1:27" ht="14.5" customHeight="1" x14ac:dyDescent="0.2">
      <c r="A207" s="5" t="s">
        <v>52</v>
      </c>
      <c r="B207" s="35">
        <v>2020</v>
      </c>
      <c r="C207" s="33">
        <f>21600*0.008141</f>
        <v>175.84560000000002</v>
      </c>
      <c r="D207" s="30" t="s">
        <v>9</v>
      </c>
      <c r="E207" s="30" t="s">
        <v>9</v>
      </c>
      <c r="F207" s="30" t="s">
        <v>9</v>
      </c>
      <c r="G207" s="30" t="s">
        <v>9</v>
      </c>
      <c r="H207" s="63"/>
      <c r="I207" s="16"/>
      <c r="J207" s="22"/>
      <c r="K207" s="8">
        <v>2019</v>
      </c>
      <c r="L207" s="12">
        <v>18765</v>
      </c>
      <c r="M207" s="45" t="s">
        <v>96</v>
      </c>
      <c r="N207" s="54">
        <v>0.88680000000000003</v>
      </c>
      <c r="O207" s="12">
        <v>23236</v>
      </c>
      <c r="P207" s="45" t="s">
        <v>97</v>
      </c>
      <c r="Q207" s="54" t="s">
        <v>140</v>
      </c>
      <c r="R207" s="12">
        <v>4827096</v>
      </c>
      <c r="S207" s="45" t="s">
        <v>98</v>
      </c>
      <c r="T207" s="54" t="s">
        <v>141</v>
      </c>
      <c r="U207" s="12">
        <v>8108449</v>
      </c>
      <c r="V207" s="45" t="s">
        <v>99</v>
      </c>
      <c r="W207" s="54" t="s">
        <v>142</v>
      </c>
      <c r="X207" s="12">
        <v>2692796</v>
      </c>
      <c r="Y207" s="45" t="s">
        <v>100</v>
      </c>
      <c r="Z207" s="50" t="s">
        <v>143</v>
      </c>
      <c r="AA207" s="23"/>
    </row>
    <row r="208" spans="1:27" ht="14.5" customHeight="1" x14ac:dyDescent="0.2">
      <c r="A208" s="5" t="s">
        <v>52</v>
      </c>
      <c r="B208" s="35">
        <v>2021</v>
      </c>
      <c r="C208" s="33">
        <f>50142*0.008141</f>
        <v>408.20602200000002</v>
      </c>
      <c r="D208" s="30" t="s">
        <v>9</v>
      </c>
      <c r="E208" s="30" t="s">
        <v>9</v>
      </c>
      <c r="F208" s="30" t="s">
        <v>9</v>
      </c>
      <c r="G208" s="30" t="s">
        <v>9</v>
      </c>
      <c r="H208" s="63"/>
      <c r="I208" s="16"/>
      <c r="J208" s="22"/>
      <c r="K208" s="8">
        <v>2020</v>
      </c>
      <c r="L208" s="45" t="s">
        <v>101</v>
      </c>
      <c r="M208" s="45" t="s">
        <v>102</v>
      </c>
      <c r="N208" s="55" t="s">
        <v>144</v>
      </c>
      <c r="O208" s="45" t="s">
        <v>103</v>
      </c>
      <c r="P208" s="45" t="s">
        <v>104</v>
      </c>
      <c r="Q208" s="55" t="s">
        <v>148</v>
      </c>
      <c r="R208" s="45" t="s">
        <v>105</v>
      </c>
      <c r="S208" s="45" t="s">
        <v>106</v>
      </c>
      <c r="T208" s="55" t="s">
        <v>152</v>
      </c>
      <c r="U208" s="45" t="s">
        <v>107</v>
      </c>
      <c r="V208" s="45" t="s">
        <v>108</v>
      </c>
      <c r="W208" s="55" t="s">
        <v>156</v>
      </c>
      <c r="X208" s="12">
        <v>2387796</v>
      </c>
      <c r="Y208" s="46" t="s">
        <v>109</v>
      </c>
      <c r="Z208" s="50" t="s">
        <v>143</v>
      </c>
      <c r="AA208" s="23"/>
    </row>
    <row r="209" spans="1:27" ht="15" customHeight="1" x14ac:dyDescent="0.2">
      <c r="A209" s="5" t="s">
        <v>52</v>
      </c>
      <c r="B209" s="35">
        <v>2022</v>
      </c>
      <c r="C209" s="38">
        <v>333</v>
      </c>
      <c r="D209" s="33">
        <f>2583.76+55786.63</f>
        <v>58370.39</v>
      </c>
      <c r="E209" s="38">
        <f>187669</f>
        <v>187669</v>
      </c>
      <c r="F209" s="30" t="s">
        <v>9</v>
      </c>
      <c r="G209" s="30" t="s">
        <v>9</v>
      </c>
      <c r="H209" s="63"/>
      <c r="I209" s="16"/>
      <c r="J209" s="22"/>
      <c r="K209" s="8">
        <v>2021</v>
      </c>
      <c r="L209" s="45" t="s">
        <v>110</v>
      </c>
      <c r="M209" s="45" t="s">
        <v>111</v>
      </c>
      <c r="N209" s="55" t="s">
        <v>145</v>
      </c>
      <c r="O209" s="45" t="s">
        <v>112</v>
      </c>
      <c r="P209" s="45" t="s">
        <v>113</v>
      </c>
      <c r="Q209" s="55" t="s">
        <v>149</v>
      </c>
      <c r="R209" s="45" t="s">
        <v>114</v>
      </c>
      <c r="S209" s="45" t="s">
        <v>115</v>
      </c>
      <c r="T209" s="55" t="s">
        <v>153</v>
      </c>
      <c r="U209" s="45" t="s">
        <v>116</v>
      </c>
      <c r="V209" s="45" t="s">
        <v>117</v>
      </c>
      <c r="W209" s="55" t="s">
        <v>157</v>
      </c>
      <c r="X209" s="12">
        <v>19982341</v>
      </c>
      <c r="Y209" s="45" t="s">
        <v>118</v>
      </c>
      <c r="Z209" s="51" t="s">
        <v>143</v>
      </c>
      <c r="AA209" s="23"/>
    </row>
    <row r="210" spans="1:27" ht="14.5" customHeight="1" x14ac:dyDescent="0.2">
      <c r="A210" s="5" t="s">
        <v>52</v>
      </c>
      <c r="B210" s="35">
        <v>2023</v>
      </c>
      <c r="C210" s="36">
        <v>493</v>
      </c>
      <c r="D210" s="33">
        <f>2358.21 + 59947.96</f>
        <v>62306.17</v>
      </c>
      <c r="E210" s="38">
        <v>264593</v>
      </c>
      <c r="F210" s="30" t="s">
        <v>9</v>
      </c>
      <c r="G210" s="30" t="s">
        <v>9</v>
      </c>
      <c r="H210" s="63"/>
      <c r="I210" s="16"/>
      <c r="J210" s="22"/>
      <c r="K210" s="8">
        <v>2022</v>
      </c>
      <c r="L210" s="45" t="s">
        <v>119</v>
      </c>
      <c r="M210" s="45" t="s">
        <v>120</v>
      </c>
      <c r="N210" s="55" t="s">
        <v>146</v>
      </c>
      <c r="O210" s="45" t="s">
        <v>121</v>
      </c>
      <c r="P210" s="45" t="s">
        <v>122</v>
      </c>
      <c r="Q210" s="55" t="s">
        <v>150</v>
      </c>
      <c r="R210" s="45" t="s">
        <v>123</v>
      </c>
      <c r="S210" s="45" t="s">
        <v>124</v>
      </c>
      <c r="T210" s="55" t="s">
        <v>154</v>
      </c>
      <c r="U210" s="45" t="s">
        <v>125</v>
      </c>
      <c r="V210" s="45" t="s">
        <v>126</v>
      </c>
      <c r="W210" s="55" t="s">
        <v>158</v>
      </c>
      <c r="X210" s="48" t="s">
        <v>127</v>
      </c>
      <c r="Y210" s="45" t="s">
        <v>128</v>
      </c>
      <c r="Z210" s="52" t="s">
        <v>160</v>
      </c>
      <c r="AA210" s="23"/>
    </row>
    <row r="211" spans="1:27" ht="14.5" customHeight="1" x14ac:dyDescent="0.2">
      <c r="A211" s="5" t="s">
        <v>52</v>
      </c>
      <c r="B211" s="35">
        <v>2024</v>
      </c>
      <c r="C211" s="30">
        <v>608</v>
      </c>
      <c r="D211" s="33">
        <v>100116</v>
      </c>
      <c r="E211" s="33">
        <v>317258</v>
      </c>
      <c r="F211" s="30" t="s">
        <v>9</v>
      </c>
      <c r="G211" s="30" t="s">
        <v>9</v>
      </c>
      <c r="H211" s="63"/>
      <c r="I211" s="16"/>
      <c r="J211" s="22"/>
      <c r="K211" s="8">
        <v>2023</v>
      </c>
      <c r="L211" s="45" t="s">
        <v>129</v>
      </c>
      <c r="M211" s="45" t="s">
        <v>130</v>
      </c>
      <c r="N211" s="55" t="s">
        <v>147</v>
      </c>
      <c r="O211" s="45" t="s">
        <v>131</v>
      </c>
      <c r="P211" s="45" t="s">
        <v>132</v>
      </c>
      <c r="Q211" s="55" t="s">
        <v>151</v>
      </c>
      <c r="R211" s="45" t="s">
        <v>133</v>
      </c>
      <c r="S211" s="45" t="s">
        <v>134</v>
      </c>
      <c r="T211" s="55" t="s">
        <v>155</v>
      </c>
      <c r="U211" s="45" t="s">
        <v>135</v>
      </c>
      <c r="V211" s="45" t="s">
        <v>136</v>
      </c>
      <c r="W211" s="55" t="s">
        <v>159</v>
      </c>
      <c r="X211" s="49" t="s">
        <v>137</v>
      </c>
      <c r="Y211" s="47" t="s">
        <v>138</v>
      </c>
      <c r="Z211" s="53" t="s">
        <v>161</v>
      </c>
      <c r="AA211" s="23"/>
    </row>
    <row r="212" spans="1:27" ht="14.5" customHeight="1" x14ac:dyDescent="0.2">
      <c r="A212" s="7" t="s">
        <v>53</v>
      </c>
      <c r="B212" s="34">
        <v>2015</v>
      </c>
      <c r="C212" s="32">
        <f>5478177/3600</f>
        <v>1521.7158333333334</v>
      </c>
      <c r="D212" s="31">
        <f>793498</f>
        <v>793498</v>
      </c>
      <c r="E212" s="31">
        <v>770000</v>
      </c>
      <c r="F212" s="31" t="s">
        <v>9</v>
      </c>
      <c r="G212" s="31">
        <v>52000</v>
      </c>
      <c r="H212" s="62" t="s">
        <v>54</v>
      </c>
      <c r="I212" s="16"/>
      <c r="J212" s="22"/>
      <c r="K212" s="8">
        <v>2024</v>
      </c>
      <c r="L212" s="10">
        <v>28996</v>
      </c>
      <c r="M212" s="10">
        <v>32083</v>
      </c>
      <c r="N212" s="11">
        <v>0.90380000000000005</v>
      </c>
      <c r="O212" s="10">
        <v>34592</v>
      </c>
      <c r="P212" s="10">
        <v>38772</v>
      </c>
      <c r="Q212" s="11">
        <v>0.89219999999999999</v>
      </c>
      <c r="R212" s="10">
        <v>4489000</v>
      </c>
      <c r="S212" s="10">
        <v>4725000</v>
      </c>
      <c r="T212" s="11">
        <v>0.95009999999999994</v>
      </c>
      <c r="U212" s="45">
        <v>10058000</v>
      </c>
      <c r="V212" s="45">
        <v>10164000</v>
      </c>
      <c r="W212" s="11">
        <v>0.98960000000000004</v>
      </c>
      <c r="X212" s="49">
        <v>22900000</v>
      </c>
      <c r="Y212" s="47">
        <v>105612000</v>
      </c>
      <c r="Z212" s="14">
        <v>0.21679999999999999</v>
      </c>
      <c r="AA212" s="23"/>
    </row>
    <row r="213" spans="1:27" ht="14.5" customHeight="1" x14ac:dyDescent="0.2">
      <c r="A213" s="5" t="s">
        <v>53</v>
      </c>
      <c r="B213" s="35">
        <v>2016</v>
      </c>
      <c r="C213" s="33">
        <f>5489275/3600</f>
        <v>1524.7986111111111</v>
      </c>
      <c r="D213" s="30">
        <f>651653</f>
        <v>651653</v>
      </c>
      <c r="E213" s="30">
        <v>760000</v>
      </c>
      <c r="F213" s="30" t="s">
        <v>9</v>
      </c>
      <c r="G213" s="30">
        <v>50000</v>
      </c>
      <c r="H213" s="63"/>
      <c r="I213" s="16"/>
      <c r="J213" s="22"/>
      <c r="K213" s="8" t="s">
        <v>55</v>
      </c>
      <c r="L213" s="59" t="s">
        <v>139</v>
      </c>
      <c r="M213" s="60"/>
      <c r="N213" s="61"/>
      <c r="O213" s="59" t="s">
        <v>140</v>
      </c>
      <c r="P213" s="60"/>
      <c r="Q213" s="61"/>
      <c r="R213" s="59" t="s">
        <v>141</v>
      </c>
      <c r="S213" s="60"/>
      <c r="T213" s="61"/>
      <c r="U213" s="59" t="s">
        <v>142</v>
      </c>
      <c r="V213" s="60"/>
      <c r="W213" s="61"/>
      <c r="X213" s="59" t="s">
        <v>143</v>
      </c>
      <c r="Y213" s="60"/>
      <c r="Z213" s="61"/>
      <c r="AA213" s="23"/>
    </row>
    <row r="214" spans="1:27" ht="14.5" customHeight="1" x14ac:dyDescent="0.2">
      <c r="A214" s="5" t="s">
        <v>53</v>
      </c>
      <c r="B214" s="35">
        <v>2017</v>
      </c>
      <c r="C214" s="33">
        <f>5494235/3600</f>
        <v>1526.1763888888888</v>
      </c>
      <c r="D214" s="30">
        <f>602190</f>
        <v>602190</v>
      </c>
      <c r="E214" s="30">
        <v>740000</v>
      </c>
      <c r="F214" s="30" t="s">
        <v>9</v>
      </c>
      <c r="G214" s="30">
        <v>41000</v>
      </c>
      <c r="H214" s="63"/>
      <c r="I214" s="16"/>
      <c r="J214" s="22"/>
      <c r="AA214" s="23"/>
    </row>
    <row r="215" spans="1:27" ht="14.5" customHeight="1" x14ac:dyDescent="0.2">
      <c r="A215" s="5" t="s">
        <v>53</v>
      </c>
      <c r="B215" s="35">
        <v>2018</v>
      </c>
      <c r="C215" s="33">
        <f>5573326/3600</f>
        <v>1548.1461111111112</v>
      </c>
      <c r="D215" s="30">
        <f>594499</f>
        <v>594499</v>
      </c>
      <c r="E215" s="30">
        <f>725613</f>
        <v>725613</v>
      </c>
      <c r="F215" s="30" t="s">
        <v>9</v>
      </c>
      <c r="G215" s="30">
        <v>28738</v>
      </c>
      <c r="H215" s="63"/>
      <c r="I215" s="16"/>
      <c r="J215" s="22"/>
      <c r="K215" s="67" t="s">
        <v>56</v>
      </c>
      <c r="L215" s="68"/>
      <c r="M215" s="68"/>
      <c r="N215" s="69"/>
      <c r="AA215" s="23"/>
    </row>
    <row r="216" spans="1:27" ht="14.5" customHeight="1" x14ac:dyDescent="0.2">
      <c r="A216" s="5" t="s">
        <v>53</v>
      </c>
      <c r="B216" s="35">
        <v>2019</v>
      </c>
      <c r="C216" s="33">
        <f>5539224/3600</f>
        <v>1538.6733333333334</v>
      </c>
      <c r="D216" s="30">
        <f>458518</f>
        <v>458518</v>
      </c>
      <c r="E216" s="30">
        <f>675963</f>
        <v>675963</v>
      </c>
      <c r="F216" s="30" t="s">
        <v>9</v>
      </c>
      <c r="G216" s="30">
        <v>36690</v>
      </c>
      <c r="H216" s="63"/>
      <c r="I216" s="16"/>
      <c r="J216" s="22"/>
      <c r="K216" s="64" t="s">
        <v>57</v>
      </c>
      <c r="L216" s="65"/>
      <c r="M216" s="65"/>
      <c r="N216" s="66"/>
      <c r="AA216" s="23"/>
    </row>
    <row r="217" spans="1:27" ht="14.5" customHeight="1" x14ac:dyDescent="0.2">
      <c r="A217" s="5" t="s">
        <v>53</v>
      </c>
      <c r="B217" s="35">
        <v>2020</v>
      </c>
      <c r="C217" s="33">
        <f xml:space="preserve"> 6096244/3600</f>
        <v>1693.401111111111</v>
      </c>
      <c r="D217" s="30">
        <f>356462</f>
        <v>356462</v>
      </c>
      <c r="E217" s="30">
        <f xml:space="preserve"> 625661</f>
        <v>625661</v>
      </c>
      <c r="F217" s="30" t="s">
        <v>9</v>
      </c>
      <c r="G217" s="30">
        <v>25835</v>
      </c>
      <c r="H217" s="63"/>
      <c r="I217" s="16"/>
      <c r="J217" s="22"/>
      <c r="K217" s="56" t="s">
        <v>58</v>
      </c>
      <c r="L217" s="57"/>
      <c r="M217" s="57"/>
      <c r="N217" s="58"/>
      <c r="AA217" s="23"/>
    </row>
    <row r="218" spans="1:27" ht="15" customHeight="1" thickBot="1" x14ac:dyDescent="0.25">
      <c r="A218" s="5" t="s">
        <v>53</v>
      </c>
      <c r="B218" s="35">
        <v>2021</v>
      </c>
      <c r="C218" s="33">
        <f>6411583/3600</f>
        <v>1780.9952777777778</v>
      </c>
      <c r="D218" s="30">
        <f>515215</f>
        <v>515215</v>
      </c>
      <c r="E218" s="30">
        <f>664994</f>
        <v>664994</v>
      </c>
      <c r="F218" s="30" t="s">
        <v>9</v>
      </c>
      <c r="G218" s="30">
        <v>21441</v>
      </c>
      <c r="H218" s="63"/>
      <c r="I218" s="16"/>
      <c r="J218" s="24"/>
      <c r="K218" s="25"/>
      <c r="L218" s="25"/>
      <c r="M218" s="25"/>
      <c r="N218" s="25"/>
      <c r="O218" s="25"/>
      <c r="P218" s="25"/>
      <c r="Q218" s="25"/>
      <c r="R218" s="25"/>
      <c r="S218" s="25"/>
      <c r="T218" s="25"/>
      <c r="U218" s="25"/>
      <c r="V218" s="25"/>
      <c r="W218" s="25"/>
      <c r="X218" s="25"/>
      <c r="Y218" s="25"/>
      <c r="Z218" s="25"/>
      <c r="AA218" s="26"/>
    </row>
    <row r="219" spans="1:27" ht="14.5" customHeight="1" x14ac:dyDescent="0.2">
      <c r="A219" s="5" t="s">
        <v>53</v>
      </c>
      <c r="B219" s="35">
        <v>2022</v>
      </c>
      <c r="C219" s="33">
        <f>6766117/3600</f>
        <v>1879.4769444444444</v>
      </c>
      <c r="D219" s="36">
        <f>538751</f>
        <v>538751</v>
      </c>
      <c r="E219" s="36">
        <f>640503</f>
        <v>640503</v>
      </c>
      <c r="F219" s="30" t="s">
        <v>9</v>
      </c>
      <c r="G219" s="36">
        <v>18554022</v>
      </c>
      <c r="H219" s="63"/>
      <c r="I219" s="16"/>
      <c r="J219" s="18"/>
    </row>
    <row r="220" spans="1:27" ht="14.5" customHeight="1" x14ac:dyDescent="0.2">
      <c r="A220" s="5" t="s">
        <v>53</v>
      </c>
      <c r="B220" s="35">
        <v>2023</v>
      </c>
      <c r="C220" s="38">
        <f>6700481/3600</f>
        <v>1861.2447222222222</v>
      </c>
      <c r="D220" s="36">
        <f>370696</f>
        <v>370696</v>
      </c>
      <c r="E220" s="36">
        <f>530582</f>
        <v>530582</v>
      </c>
      <c r="F220" s="30" t="s">
        <v>9</v>
      </c>
      <c r="G220" s="36">
        <v>11857940</v>
      </c>
      <c r="H220" s="63"/>
      <c r="I220" s="16"/>
      <c r="J220" s="3"/>
    </row>
    <row r="221" spans="1:27" ht="14.5" customHeight="1" x14ac:dyDescent="0.2">
      <c r="A221" s="5" t="s">
        <v>53</v>
      </c>
      <c r="B221" s="35">
        <v>2024</v>
      </c>
      <c r="C221" s="33">
        <f>6652926/3600</f>
        <v>1848.0350000000001</v>
      </c>
      <c r="D221" s="30">
        <v>254936</v>
      </c>
      <c r="E221" s="30">
        <v>462051</v>
      </c>
      <c r="F221" s="30">
        <v>753961</v>
      </c>
      <c r="G221" s="30">
        <v>9756145</v>
      </c>
      <c r="H221" s="63"/>
      <c r="I221" s="16"/>
      <c r="J221" s="3"/>
    </row>
    <row r="222" spans="1:27" ht="14.5" customHeight="1" x14ac:dyDescent="0.2">
      <c r="A222" s="7" t="s">
        <v>59</v>
      </c>
      <c r="B222" s="34">
        <v>2015</v>
      </c>
      <c r="C222" s="32">
        <v>16826</v>
      </c>
      <c r="D222" s="32">
        <v>2329238</v>
      </c>
      <c r="E222" s="32">
        <v>7193032</v>
      </c>
      <c r="F222" s="31" t="s">
        <v>9</v>
      </c>
      <c r="G222" s="32">
        <v>3004283</v>
      </c>
      <c r="H222" s="62" t="s">
        <v>60</v>
      </c>
      <c r="I222" s="16"/>
      <c r="J222" s="3"/>
    </row>
    <row r="223" spans="1:27" ht="14.5" customHeight="1" x14ac:dyDescent="0.2">
      <c r="A223" s="5" t="s">
        <v>59</v>
      </c>
      <c r="B223" s="35">
        <v>2016</v>
      </c>
      <c r="C223" s="33">
        <v>18203</v>
      </c>
      <c r="D223" s="33">
        <v>2433077</v>
      </c>
      <c r="E223" s="33">
        <v>8400647</v>
      </c>
      <c r="F223" s="30" t="s">
        <v>9</v>
      </c>
      <c r="G223" s="33">
        <v>1240272</v>
      </c>
      <c r="H223" s="63"/>
      <c r="I223" s="16"/>
      <c r="J223" s="3"/>
    </row>
    <row r="224" spans="1:27" ht="14.5" customHeight="1" x14ac:dyDescent="0.2">
      <c r="A224" s="5" t="s">
        <v>59</v>
      </c>
      <c r="B224" s="35">
        <v>2017</v>
      </c>
      <c r="C224" s="33">
        <v>20230</v>
      </c>
      <c r="D224" s="33">
        <v>3494334</v>
      </c>
      <c r="E224" s="33">
        <v>9199258</v>
      </c>
      <c r="F224" s="30" t="s">
        <v>9</v>
      </c>
      <c r="G224" s="33">
        <v>2396875</v>
      </c>
      <c r="H224" s="63"/>
      <c r="I224" s="16"/>
      <c r="J224" s="3"/>
    </row>
    <row r="225" spans="1:10" ht="14.5" customHeight="1" x14ac:dyDescent="0.2">
      <c r="A225" s="5" t="s">
        <v>59</v>
      </c>
      <c r="B225" s="35">
        <v>2018</v>
      </c>
      <c r="C225" s="33">
        <v>22484</v>
      </c>
      <c r="D225" s="33">
        <v>4625134</v>
      </c>
      <c r="E225" s="33">
        <v>9558633</v>
      </c>
      <c r="F225" s="30" t="s">
        <v>9</v>
      </c>
      <c r="G225" s="33">
        <v>2579455</v>
      </c>
      <c r="H225" s="63"/>
      <c r="I225" s="16"/>
      <c r="J225" s="3"/>
    </row>
    <row r="226" spans="1:10" ht="14.5" customHeight="1" x14ac:dyDescent="0.2">
      <c r="A226" s="5" t="s">
        <v>59</v>
      </c>
      <c r="B226" s="35">
        <v>2019</v>
      </c>
      <c r="C226" s="33">
        <v>23236</v>
      </c>
      <c r="D226" s="33">
        <v>4827096</v>
      </c>
      <c r="E226" s="33">
        <v>8108449</v>
      </c>
      <c r="F226" s="30" t="s">
        <v>9</v>
      </c>
      <c r="G226" s="33">
        <v>2692796</v>
      </c>
      <c r="H226" s="63"/>
      <c r="I226" s="16"/>
      <c r="J226" s="3"/>
    </row>
    <row r="227" spans="1:10" ht="15" customHeight="1" x14ac:dyDescent="0.2">
      <c r="A227" s="5" t="s">
        <v>59</v>
      </c>
      <c r="B227" s="35">
        <v>2020</v>
      </c>
      <c r="C227" s="33">
        <v>24556</v>
      </c>
      <c r="D227" s="30">
        <v>5448000</v>
      </c>
      <c r="E227" s="30">
        <v>7546000</v>
      </c>
      <c r="F227" s="30" t="s">
        <v>9</v>
      </c>
      <c r="G227" s="33">
        <v>2387796</v>
      </c>
      <c r="H227" s="63"/>
      <c r="I227" s="16"/>
      <c r="J227" s="3"/>
    </row>
    <row r="228" spans="1:10" ht="14.5" customHeight="1" x14ac:dyDescent="0.2">
      <c r="A228" s="5" t="s">
        <v>59</v>
      </c>
      <c r="B228" s="35">
        <v>2021</v>
      </c>
      <c r="C228" s="33">
        <v>27926</v>
      </c>
      <c r="D228" s="30">
        <v>7341000</v>
      </c>
      <c r="E228" s="30">
        <v>8269000</v>
      </c>
      <c r="F228" s="30" t="s">
        <v>9</v>
      </c>
      <c r="G228" s="33">
        <v>19982341</v>
      </c>
      <c r="H228" s="63"/>
      <c r="I228" s="16"/>
      <c r="J228" s="3"/>
    </row>
    <row r="229" spans="1:10" ht="14.5" customHeight="1" x14ac:dyDescent="0.2">
      <c r="A229" s="5" t="s">
        <v>59</v>
      </c>
      <c r="B229" s="35">
        <v>2022</v>
      </c>
      <c r="C229" s="38">
        <v>35177</v>
      </c>
      <c r="D229" s="36">
        <v>5792000</v>
      </c>
      <c r="E229" s="36">
        <v>9081000</v>
      </c>
      <c r="F229" s="36">
        <v>13920000</v>
      </c>
      <c r="G229" s="36">
        <v>115960000</v>
      </c>
      <c r="H229" s="63"/>
      <c r="I229" s="16"/>
      <c r="J229" s="3"/>
    </row>
    <row r="230" spans="1:10" ht="14.5" customHeight="1" x14ac:dyDescent="0.2">
      <c r="A230" s="5" t="s">
        <v>59</v>
      </c>
      <c r="B230" s="35">
        <v>2023</v>
      </c>
      <c r="C230" s="38">
        <v>36399</v>
      </c>
      <c r="D230" s="36">
        <v>3733000</v>
      </c>
      <c r="E230" s="36">
        <v>9558000</v>
      </c>
      <c r="F230" s="36">
        <v>14570000</v>
      </c>
      <c r="G230" s="36">
        <v>106971000</v>
      </c>
      <c r="H230" s="63"/>
      <c r="I230" s="16"/>
      <c r="J230" s="3"/>
    </row>
    <row r="231" spans="1:10" ht="14.5" customHeight="1" x14ac:dyDescent="0.2">
      <c r="A231" s="5" t="s">
        <v>59</v>
      </c>
      <c r="B231" s="35">
        <v>2024</v>
      </c>
      <c r="C231" s="36">
        <v>38772</v>
      </c>
      <c r="D231" s="30">
        <v>4725000</v>
      </c>
      <c r="E231" s="30">
        <v>10164000</v>
      </c>
      <c r="F231" s="36">
        <v>15011000</v>
      </c>
      <c r="G231" s="30">
        <v>105612000</v>
      </c>
      <c r="H231" s="63"/>
      <c r="I231" s="16"/>
      <c r="J231" s="3"/>
    </row>
    <row r="232" spans="1:10" ht="14.5" customHeight="1" x14ac:dyDescent="0.2">
      <c r="A232" s="7" t="s">
        <v>61</v>
      </c>
      <c r="B232" s="34">
        <v>2015</v>
      </c>
      <c r="C232" s="32" t="s">
        <v>9</v>
      </c>
      <c r="D232" s="31" t="s">
        <v>9</v>
      </c>
      <c r="E232" s="31" t="s">
        <v>9</v>
      </c>
      <c r="F232" s="31" t="s">
        <v>9</v>
      </c>
      <c r="G232" s="31" t="s">
        <v>9</v>
      </c>
      <c r="H232" s="62"/>
      <c r="I232" s="16"/>
      <c r="J232" s="3"/>
    </row>
    <row r="233" spans="1:10" ht="14.5" customHeight="1" x14ac:dyDescent="0.2">
      <c r="A233" s="5" t="s">
        <v>61</v>
      </c>
      <c r="B233" s="35">
        <v>2016</v>
      </c>
      <c r="C233" s="33" t="s">
        <v>9</v>
      </c>
      <c r="D233" s="30" t="s">
        <v>9</v>
      </c>
      <c r="E233" s="30" t="s">
        <v>9</v>
      </c>
      <c r="F233" s="30" t="s">
        <v>9</v>
      </c>
      <c r="G233" s="30" t="s">
        <v>9</v>
      </c>
      <c r="H233" s="63"/>
      <c r="I233" s="16"/>
      <c r="J233" s="3"/>
    </row>
    <row r="234" spans="1:10" ht="14.5" customHeight="1" x14ac:dyDescent="0.2">
      <c r="A234" s="5" t="s">
        <v>61</v>
      </c>
      <c r="B234" s="35">
        <v>2017</v>
      </c>
      <c r="C234" s="33" t="s">
        <v>9</v>
      </c>
      <c r="D234" s="30" t="s">
        <v>9</v>
      </c>
      <c r="E234" s="30" t="s">
        <v>9</v>
      </c>
      <c r="F234" s="30" t="s">
        <v>9</v>
      </c>
      <c r="G234" s="30" t="s">
        <v>9</v>
      </c>
      <c r="H234" s="63"/>
      <c r="I234" s="16"/>
      <c r="J234" s="3"/>
    </row>
    <row r="235" spans="1:10" ht="14.5" customHeight="1" x14ac:dyDescent="0.2">
      <c r="A235" s="5" t="s">
        <v>61</v>
      </c>
      <c r="B235" s="35">
        <v>2018</v>
      </c>
      <c r="C235" s="33" t="s">
        <v>9</v>
      </c>
      <c r="D235" s="30" t="s">
        <v>9</v>
      </c>
      <c r="E235" s="30" t="s">
        <v>9</v>
      </c>
      <c r="F235" s="30" t="s">
        <v>9</v>
      </c>
      <c r="G235" s="30" t="s">
        <v>9</v>
      </c>
      <c r="H235" s="63"/>
      <c r="I235" s="16"/>
      <c r="J235" s="3"/>
    </row>
    <row r="236" spans="1:10" ht="15" customHeight="1" x14ac:dyDescent="0.2">
      <c r="A236" s="5" t="s">
        <v>61</v>
      </c>
      <c r="B236" s="35">
        <v>2019</v>
      </c>
      <c r="C236" s="33" t="s">
        <v>9</v>
      </c>
      <c r="D236" s="30" t="s">
        <v>9</v>
      </c>
      <c r="E236" s="30" t="s">
        <v>9</v>
      </c>
      <c r="F236" s="30" t="s">
        <v>9</v>
      </c>
      <c r="G236" s="30" t="s">
        <v>9</v>
      </c>
      <c r="H236" s="63"/>
      <c r="I236" s="16"/>
      <c r="J236" s="3"/>
    </row>
    <row r="237" spans="1:10" ht="14.5" customHeight="1" x14ac:dyDescent="0.2">
      <c r="A237" s="5" t="s">
        <v>61</v>
      </c>
      <c r="B237" s="35">
        <v>2020</v>
      </c>
      <c r="C237" s="33">
        <v>899.3</v>
      </c>
      <c r="D237" s="30">
        <v>51700</v>
      </c>
      <c r="E237" s="30">
        <v>264100</v>
      </c>
      <c r="F237" s="30">
        <v>332300</v>
      </c>
      <c r="G237" s="30">
        <f xml:space="preserve"> 1071300 + 54100 + 54500 + 4000</f>
        <v>1183900</v>
      </c>
      <c r="H237" s="63"/>
      <c r="I237" s="16"/>
      <c r="J237" s="3"/>
    </row>
    <row r="238" spans="1:10" ht="14.5" customHeight="1" x14ac:dyDescent="0.2">
      <c r="A238" s="5" t="s">
        <v>61</v>
      </c>
      <c r="B238" s="35">
        <v>2021</v>
      </c>
      <c r="C238" s="33">
        <v>892.4</v>
      </c>
      <c r="D238" s="30">
        <v>46600</v>
      </c>
      <c r="E238" s="30">
        <v>261700</v>
      </c>
      <c r="F238" s="30">
        <v>321400</v>
      </c>
      <c r="G238" s="30">
        <f>1106400 + 76800 + 59700 + 2600</f>
        <v>1245500</v>
      </c>
      <c r="H238" s="63"/>
      <c r="I238" s="16"/>
      <c r="J238" s="3"/>
    </row>
    <row r="239" spans="1:10" ht="14.5" customHeight="1" x14ac:dyDescent="0.2">
      <c r="A239" s="5" t="s">
        <v>61</v>
      </c>
      <c r="B239" s="35">
        <v>2022</v>
      </c>
      <c r="C239" s="33">
        <v>830.4</v>
      </c>
      <c r="D239" s="30">
        <v>65500</v>
      </c>
      <c r="E239" s="30">
        <v>230500</v>
      </c>
      <c r="F239" s="30">
        <v>291000</v>
      </c>
      <c r="G239" s="30">
        <f>1119800 + 199100 + 47400 + 7200</f>
        <v>1373500</v>
      </c>
      <c r="H239" s="63"/>
      <c r="I239" s="16"/>
      <c r="J239" s="3"/>
    </row>
    <row r="240" spans="1:10" ht="14.5" customHeight="1" x14ac:dyDescent="0.2">
      <c r="A240" s="5" t="s">
        <v>61</v>
      </c>
      <c r="B240" s="35">
        <v>2023</v>
      </c>
      <c r="C240" s="33">
        <v>785.4</v>
      </c>
      <c r="D240" s="30">
        <v>51700</v>
      </c>
      <c r="E240" s="30">
        <v>229400</v>
      </c>
      <c r="F240" s="30">
        <v>292900</v>
      </c>
      <c r="G240" s="30">
        <f>718300+301200+42200+5400</f>
        <v>1067100</v>
      </c>
      <c r="H240" s="63"/>
      <c r="I240" s="16"/>
      <c r="J240" s="3"/>
    </row>
    <row r="241" spans="1:10" ht="14.5" customHeight="1" x14ac:dyDescent="0.2">
      <c r="A241" s="5" t="s">
        <v>61</v>
      </c>
      <c r="B241" s="35">
        <v>2024</v>
      </c>
      <c r="C241" s="33">
        <v>799</v>
      </c>
      <c r="D241" s="30">
        <v>53100</v>
      </c>
      <c r="E241" s="30">
        <v>211600</v>
      </c>
      <c r="F241" s="30">
        <v>308600</v>
      </c>
      <c r="G241" s="30">
        <f>623700+105600+33400+6000</f>
        <v>768700</v>
      </c>
      <c r="H241" s="63"/>
      <c r="I241" s="16"/>
      <c r="J241" s="3"/>
    </row>
    <row r="242" spans="1:10" ht="14.5" customHeight="1" x14ac:dyDescent="0.2">
      <c r="A242" s="7" t="s">
        <v>62</v>
      </c>
      <c r="B242" s="34">
        <v>2015</v>
      </c>
      <c r="C242" s="32" t="s">
        <v>9</v>
      </c>
      <c r="D242" s="32" t="s">
        <v>9</v>
      </c>
      <c r="E242" s="32" t="s">
        <v>9</v>
      </c>
      <c r="F242" s="31" t="s">
        <v>9</v>
      </c>
      <c r="G242" s="31">
        <v>6989</v>
      </c>
      <c r="H242" s="62" t="s">
        <v>63</v>
      </c>
      <c r="I242" s="16"/>
      <c r="J242" s="18"/>
    </row>
    <row r="243" spans="1:10" ht="14.5" customHeight="1" x14ac:dyDescent="0.2">
      <c r="A243" s="5" t="s">
        <v>62</v>
      </c>
      <c r="B243" s="35">
        <v>2016</v>
      </c>
      <c r="C243" s="33" t="s">
        <v>9</v>
      </c>
      <c r="D243" s="33" t="s">
        <v>9</v>
      </c>
      <c r="E243" s="33" t="s">
        <v>9</v>
      </c>
      <c r="F243" s="30" t="s">
        <v>9</v>
      </c>
      <c r="G243" s="30">
        <v>7939</v>
      </c>
      <c r="H243" s="63"/>
      <c r="I243" s="16"/>
      <c r="J243" s="18"/>
    </row>
    <row r="244" spans="1:10" ht="14.5" customHeight="1" x14ac:dyDescent="0.2">
      <c r="A244" s="5" t="s">
        <v>62</v>
      </c>
      <c r="B244" s="35">
        <v>2017</v>
      </c>
      <c r="C244" s="33" t="s">
        <v>9</v>
      </c>
      <c r="D244" s="33" t="s">
        <v>9</v>
      </c>
      <c r="E244" s="33" t="s">
        <v>9</v>
      </c>
      <c r="F244" s="30" t="s">
        <v>9</v>
      </c>
      <c r="G244" s="30">
        <v>9616</v>
      </c>
      <c r="H244" s="63"/>
      <c r="I244" s="16"/>
      <c r="J244" s="18"/>
    </row>
    <row r="245" spans="1:10" ht="15" customHeight="1" x14ac:dyDescent="0.2">
      <c r="A245" s="5" t="s">
        <v>62</v>
      </c>
      <c r="B245" s="35">
        <v>2018</v>
      </c>
      <c r="C245" s="33" t="s">
        <v>9</v>
      </c>
      <c r="D245" s="33" t="s">
        <v>9</v>
      </c>
      <c r="E245" s="33" t="s">
        <v>9</v>
      </c>
      <c r="F245" s="30" t="s">
        <v>9</v>
      </c>
      <c r="G245" s="30">
        <v>4578</v>
      </c>
      <c r="H245" s="63"/>
      <c r="I245" s="16"/>
      <c r="J245" s="18"/>
    </row>
    <row r="246" spans="1:10" ht="14.5" customHeight="1" x14ac:dyDescent="0.2">
      <c r="A246" s="5" t="s">
        <v>62</v>
      </c>
      <c r="B246" s="35">
        <v>2019</v>
      </c>
      <c r="C246" s="33" t="s">
        <v>9</v>
      </c>
      <c r="D246" s="30">
        <v>162740</v>
      </c>
      <c r="E246" s="30">
        <v>179902</v>
      </c>
      <c r="F246" s="30" t="s">
        <v>9</v>
      </c>
      <c r="G246" s="30">
        <v>7174</v>
      </c>
      <c r="H246" s="63"/>
      <c r="I246" s="16"/>
      <c r="J246" s="18"/>
    </row>
    <row r="247" spans="1:10" ht="14.5" customHeight="1" x14ac:dyDescent="0.2">
      <c r="A247" s="5" t="s">
        <v>62</v>
      </c>
      <c r="B247" s="35">
        <v>2020</v>
      </c>
      <c r="C247" s="33" t="s">
        <v>9</v>
      </c>
      <c r="D247" s="30">
        <v>168487</v>
      </c>
      <c r="E247" s="30">
        <v>186987</v>
      </c>
      <c r="F247" s="30" t="s">
        <v>9</v>
      </c>
      <c r="G247" s="30">
        <v>1586</v>
      </c>
      <c r="H247" s="63"/>
      <c r="I247" s="16"/>
      <c r="J247" s="18"/>
    </row>
    <row r="248" spans="1:10" ht="14.5" customHeight="1" x14ac:dyDescent="0.2">
      <c r="A248" s="5" t="s">
        <v>62</v>
      </c>
      <c r="B248" s="35">
        <v>2021</v>
      </c>
      <c r="C248" s="33" t="s">
        <v>9</v>
      </c>
      <c r="D248" s="30">
        <v>167937</v>
      </c>
      <c r="E248" s="30">
        <v>182187</v>
      </c>
      <c r="F248" s="30" t="s">
        <v>9</v>
      </c>
      <c r="G248" s="30" t="s">
        <v>9</v>
      </c>
      <c r="H248" s="63"/>
      <c r="I248" s="16"/>
      <c r="J248" s="18"/>
    </row>
    <row r="249" spans="1:10" ht="14.5" customHeight="1" x14ac:dyDescent="0.2">
      <c r="A249" s="5" t="s">
        <v>62</v>
      </c>
      <c r="B249" s="35">
        <v>2022</v>
      </c>
      <c r="C249" s="33">
        <f>103+583+271+266+44</f>
        <v>1267</v>
      </c>
      <c r="D249" s="30">
        <v>176000</v>
      </c>
      <c r="E249" s="30">
        <v>149000</v>
      </c>
      <c r="F249" s="30" t="s">
        <v>9</v>
      </c>
      <c r="G249" s="30">
        <v>2654000</v>
      </c>
      <c r="H249" s="63"/>
      <c r="I249" s="16"/>
      <c r="J249" s="18"/>
    </row>
    <row r="250" spans="1:10" ht="14.5" customHeight="1" x14ac:dyDescent="0.2">
      <c r="A250" s="5" t="s">
        <v>62</v>
      </c>
      <c r="B250" s="35">
        <v>2023</v>
      </c>
      <c r="C250" s="38">
        <f>104+604+252+225+126</f>
        <v>1311</v>
      </c>
      <c r="D250" s="30">
        <v>138000</v>
      </c>
      <c r="E250" s="30">
        <v>140000</v>
      </c>
      <c r="F250" s="30" t="s">
        <v>9</v>
      </c>
      <c r="G250" s="30">
        <v>2343000</v>
      </c>
      <c r="H250" s="63"/>
      <c r="I250" s="16"/>
      <c r="J250" s="18"/>
    </row>
    <row r="251" spans="1:10" ht="14.5" customHeight="1" x14ac:dyDescent="0.2">
      <c r="A251" s="5" t="s">
        <v>62</v>
      </c>
      <c r="B251" s="35">
        <v>2024</v>
      </c>
      <c r="C251" s="33">
        <f>109+615+254+342+18</f>
        <v>1338</v>
      </c>
      <c r="D251" s="30">
        <v>99000</v>
      </c>
      <c r="E251" s="30">
        <v>117000</v>
      </c>
      <c r="F251" s="30" t="s">
        <v>9</v>
      </c>
      <c r="G251" s="30">
        <v>1692000</v>
      </c>
      <c r="H251" s="63"/>
      <c r="I251" s="16"/>
      <c r="J251" s="18"/>
    </row>
    <row r="252" spans="1:10" ht="14.5" customHeight="1" x14ac:dyDescent="0.2">
      <c r="A252" s="7" t="s">
        <v>64</v>
      </c>
      <c r="B252" s="31">
        <v>2015</v>
      </c>
      <c r="C252" s="41">
        <v>705.31799999999998</v>
      </c>
      <c r="D252" s="32">
        <v>192600</v>
      </c>
      <c r="E252" s="31" t="s">
        <v>9</v>
      </c>
      <c r="F252" s="31">
        <v>435000</v>
      </c>
      <c r="G252" s="31" t="s">
        <v>9</v>
      </c>
      <c r="H252" s="62" t="s">
        <v>65</v>
      </c>
      <c r="I252" s="16"/>
      <c r="J252" s="18"/>
    </row>
    <row r="253" spans="1:10" ht="14.5" customHeight="1" x14ac:dyDescent="0.2">
      <c r="A253" s="5" t="s">
        <v>64</v>
      </c>
      <c r="B253" s="30">
        <v>2016</v>
      </c>
      <c r="C253" s="42">
        <v>713.35400000000004</v>
      </c>
      <c r="D253" s="33">
        <v>272000</v>
      </c>
      <c r="E253" s="30" t="s">
        <v>9</v>
      </c>
      <c r="F253" s="30">
        <v>449100</v>
      </c>
      <c r="G253" s="30" t="s">
        <v>9</v>
      </c>
      <c r="H253" s="63"/>
      <c r="I253" s="16"/>
      <c r="J253" s="18"/>
    </row>
    <row r="254" spans="1:10" x14ac:dyDescent="0.2">
      <c r="A254" s="5" t="s">
        <v>64</v>
      </c>
      <c r="B254" s="30">
        <v>2017</v>
      </c>
      <c r="C254" s="42">
        <v>709.35699999999997</v>
      </c>
      <c r="D254" s="33">
        <v>273142</v>
      </c>
      <c r="E254" s="30" t="s">
        <v>9</v>
      </c>
      <c r="F254" s="30">
        <v>438022</v>
      </c>
      <c r="G254" s="33">
        <v>214001.09</v>
      </c>
      <c r="H254" s="63"/>
      <c r="I254" s="16"/>
      <c r="J254" s="18"/>
    </row>
    <row r="255" spans="1:10" x14ac:dyDescent="0.2">
      <c r="A255" s="5" t="s">
        <v>64</v>
      </c>
      <c r="B255" s="30">
        <v>2018</v>
      </c>
      <c r="C255" s="42">
        <v>714.13099999999997</v>
      </c>
      <c r="D255" s="33">
        <v>331108</v>
      </c>
      <c r="E255" s="30" t="s">
        <v>9</v>
      </c>
      <c r="F255" s="30">
        <v>456471</v>
      </c>
      <c r="G255" s="33">
        <v>235512.57500000001</v>
      </c>
      <c r="H255" s="63"/>
    </row>
    <row r="256" spans="1:10" x14ac:dyDescent="0.2">
      <c r="A256" s="5" t="s">
        <v>64</v>
      </c>
      <c r="B256" s="30">
        <v>2019</v>
      </c>
      <c r="C256" s="42">
        <v>695.88400000000001</v>
      </c>
      <c r="D256" s="33">
        <v>286831.8847</v>
      </c>
      <c r="E256" s="30" t="s">
        <v>9</v>
      </c>
      <c r="F256" s="33">
        <v>440694.33199999999</v>
      </c>
      <c r="G256" s="33" t="s">
        <v>9</v>
      </c>
      <c r="H256" s="63"/>
    </row>
    <row r="257" spans="1:8" x14ac:dyDescent="0.2">
      <c r="A257" s="5" t="s">
        <v>64</v>
      </c>
      <c r="B257" s="30">
        <v>2020</v>
      </c>
      <c r="C257" s="42">
        <v>882.26400000000001</v>
      </c>
      <c r="D257" s="33">
        <v>337466.34</v>
      </c>
      <c r="E257" s="30" t="s">
        <v>9</v>
      </c>
      <c r="F257" s="33">
        <v>506591.23</v>
      </c>
      <c r="G257" s="33">
        <v>249704.06299999999</v>
      </c>
      <c r="H257" s="63"/>
    </row>
    <row r="258" spans="1:8" x14ac:dyDescent="0.2">
      <c r="A258" s="5" t="s">
        <v>64</v>
      </c>
      <c r="B258" s="30">
        <v>2021</v>
      </c>
      <c r="C258" s="42">
        <v>902.20799999999997</v>
      </c>
      <c r="D258" s="33">
        <v>424442.54</v>
      </c>
      <c r="E258" s="30">
        <v>521172</v>
      </c>
      <c r="F258" s="33">
        <v>521171.67</v>
      </c>
      <c r="G258" s="33">
        <v>278141.53999999998</v>
      </c>
      <c r="H258" s="63"/>
    </row>
    <row r="259" spans="1:8" x14ac:dyDescent="0.2">
      <c r="A259" s="5" t="s">
        <v>64</v>
      </c>
      <c r="B259" s="30">
        <v>2022</v>
      </c>
      <c r="C259" s="42">
        <f>3501936/3600</f>
        <v>972.76</v>
      </c>
      <c r="D259" s="33">
        <v>341018.57</v>
      </c>
      <c r="E259" s="30">
        <v>570769</v>
      </c>
      <c r="F259" s="33">
        <v>570769</v>
      </c>
      <c r="G259" s="33">
        <v>287264.03000000003</v>
      </c>
      <c r="H259" s="63"/>
    </row>
    <row r="260" spans="1:8" x14ac:dyDescent="0.2">
      <c r="A260" s="5" t="s">
        <v>64</v>
      </c>
      <c r="B260" s="30">
        <v>2023</v>
      </c>
      <c r="C260" s="42">
        <f>3513269/3600</f>
        <v>975.90805555555551</v>
      </c>
      <c r="D260" s="33">
        <v>203200.27</v>
      </c>
      <c r="E260" s="30">
        <v>545391</v>
      </c>
      <c r="F260" s="33">
        <v>551391</v>
      </c>
      <c r="G260" s="33">
        <v>271586.76</v>
      </c>
      <c r="H260" s="63"/>
    </row>
    <row r="261" spans="1:8" x14ac:dyDescent="0.2">
      <c r="A261" s="5" t="s">
        <v>64</v>
      </c>
      <c r="B261" s="30">
        <v>2024</v>
      </c>
      <c r="C261" s="42">
        <v>1012.1</v>
      </c>
      <c r="D261" s="33">
        <v>240952</v>
      </c>
      <c r="E261" s="30">
        <v>582650</v>
      </c>
      <c r="F261" s="33">
        <v>588536</v>
      </c>
      <c r="G261" s="33">
        <v>228829</v>
      </c>
      <c r="H261" s="63"/>
    </row>
    <row r="262" spans="1:8" ht="14.25" customHeight="1" x14ac:dyDescent="0.2">
      <c r="A262" s="7" t="s">
        <v>66</v>
      </c>
      <c r="B262" s="31">
        <v>2015</v>
      </c>
      <c r="C262" s="41">
        <f>1543097/3600</f>
        <v>428.63805555555558</v>
      </c>
      <c r="D262" s="31">
        <v>51725</v>
      </c>
      <c r="E262" s="31">
        <v>200861</v>
      </c>
      <c r="F262" s="31" t="s">
        <v>9</v>
      </c>
      <c r="G262" s="31" t="s">
        <v>9</v>
      </c>
      <c r="H262" s="62" t="s">
        <v>67</v>
      </c>
    </row>
    <row r="263" spans="1:8" x14ac:dyDescent="0.2">
      <c r="A263" s="5" t="s">
        <v>66</v>
      </c>
      <c r="B263" s="30">
        <v>2016</v>
      </c>
      <c r="C263" s="42">
        <f xml:space="preserve"> 1589623/3600</f>
        <v>441.56194444444446</v>
      </c>
      <c r="D263" s="30">
        <v>63672</v>
      </c>
      <c r="E263" s="30">
        <v>206302</v>
      </c>
      <c r="F263" s="30" t="s">
        <v>9</v>
      </c>
      <c r="G263" s="30" t="s">
        <v>9</v>
      </c>
      <c r="H263" s="63"/>
    </row>
    <row r="264" spans="1:8" ht="15" customHeight="1" x14ac:dyDescent="0.2">
      <c r="A264" s="5" t="s">
        <v>66</v>
      </c>
      <c r="B264" s="30">
        <v>2017</v>
      </c>
      <c r="C264" s="42">
        <f>1836336/3600</f>
        <v>510.09333333333331</v>
      </c>
      <c r="D264" s="30">
        <v>62318</v>
      </c>
      <c r="E264" s="30">
        <v>250859</v>
      </c>
      <c r="F264" s="30" t="s">
        <v>9</v>
      </c>
      <c r="G264" s="30" t="s">
        <v>9</v>
      </c>
      <c r="H264" s="63"/>
    </row>
    <row r="265" spans="1:8" ht="15" customHeight="1" x14ac:dyDescent="0.2">
      <c r="A265" s="5" t="s">
        <v>66</v>
      </c>
      <c r="B265" s="30">
        <v>2018</v>
      </c>
      <c r="C265" s="42">
        <f>2024278/3600</f>
        <v>562.29944444444448</v>
      </c>
      <c r="D265" s="30">
        <v>64510</v>
      </c>
      <c r="E265" s="30">
        <v>265596</v>
      </c>
      <c r="F265" s="30" t="s">
        <v>9</v>
      </c>
      <c r="G265" s="30" t="s">
        <v>9</v>
      </c>
      <c r="H265" s="63"/>
    </row>
    <row r="266" spans="1:8" ht="15" customHeight="1" x14ac:dyDescent="0.2">
      <c r="A266" s="5" t="s">
        <v>66</v>
      </c>
      <c r="B266" s="30">
        <v>2019</v>
      </c>
      <c r="C266" s="42">
        <f>2119538/3600</f>
        <v>588.76055555555558</v>
      </c>
      <c r="D266" s="30">
        <v>65749</v>
      </c>
      <c r="E266" s="30">
        <v>268947</v>
      </c>
      <c r="F266" s="30" t="s">
        <v>9</v>
      </c>
      <c r="G266" s="30" t="s">
        <v>9</v>
      </c>
      <c r="H266" s="63"/>
    </row>
    <row r="267" spans="1:8" ht="15" customHeight="1" x14ac:dyDescent="0.2">
      <c r="A267" s="5" t="s">
        <v>66</v>
      </c>
      <c r="B267" s="30">
        <v>2020</v>
      </c>
      <c r="C267" s="42">
        <f>2207442/3600</f>
        <v>613.17833333333328</v>
      </c>
      <c r="D267" s="30">
        <v>53271</v>
      </c>
      <c r="E267" s="30">
        <v>278046</v>
      </c>
      <c r="F267" s="30" t="s">
        <v>9</v>
      </c>
      <c r="G267" s="30" t="s">
        <v>9</v>
      </c>
      <c r="H267" s="63"/>
    </row>
    <row r="268" spans="1:8" ht="15" customHeight="1" x14ac:dyDescent="0.2">
      <c r="A268" s="5" t="s">
        <v>66</v>
      </c>
      <c r="B268" s="30">
        <v>2021</v>
      </c>
      <c r="C268" s="42">
        <f>2234839/3600</f>
        <v>620.78861111111109</v>
      </c>
      <c r="D268" s="30">
        <f>38760+37795</f>
        <v>76555</v>
      </c>
      <c r="E268" s="30">
        <f>277284+37740</f>
        <v>315024</v>
      </c>
      <c r="F268" s="30" t="s">
        <v>9</v>
      </c>
      <c r="G268" s="30">
        <f>451771+92268</f>
        <v>544039</v>
      </c>
      <c r="H268" s="63"/>
    </row>
    <row r="269" spans="1:8" ht="15" customHeight="1" x14ac:dyDescent="0.2">
      <c r="A269" s="5" t="s">
        <v>66</v>
      </c>
      <c r="B269" s="30">
        <v>2022</v>
      </c>
      <c r="C269" s="42">
        <f>(2807178)/3600</f>
        <v>779.77166666666665</v>
      </c>
      <c r="D269" s="30">
        <f>44373+36326</f>
        <v>80699</v>
      </c>
      <c r="E269" s="30">
        <f>353523+35786</f>
        <v>389309</v>
      </c>
      <c r="F269" s="30" t="s">
        <v>9</v>
      </c>
      <c r="G269" s="30">
        <f>443204+90433</f>
        <v>533637</v>
      </c>
      <c r="H269" s="63"/>
    </row>
    <row r="270" spans="1:8" ht="15" customHeight="1" x14ac:dyDescent="0.2">
      <c r="A270" s="5" t="s">
        <v>66</v>
      </c>
      <c r="B270" s="30">
        <v>2023</v>
      </c>
      <c r="C270" s="42">
        <f>(269202+2958834)/3600</f>
        <v>896.67666666666662</v>
      </c>
      <c r="D270" s="30">
        <f>44149+ 18749</f>
        <v>62898</v>
      </c>
      <c r="E270" s="30">
        <f>356535+35567</f>
        <v>392102</v>
      </c>
      <c r="F270" s="30" t="s">
        <v>9</v>
      </c>
      <c r="G270" s="30">
        <f>454221+98972</f>
        <v>553193</v>
      </c>
      <c r="H270" s="63"/>
    </row>
    <row r="271" spans="1:8" ht="15" customHeight="1" x14ac:dyDescent="0.2">
      <c r="A271" s="5" t="s">
        <v>66</v>
      </c>
      <c r="B271" s="30">
        <v>2024</v>
      </c>
      <c r="C271" s="42">
        <f>(3085408+963369)/3600</f>
        <v>1124.6602777777778</v>
      </c>
      <c r="D271" s="30">
        <f>49316+40507</f>
        <v>89823</v>
      </c>
      <c r="E271" s="30">
        <f>346858+85390</f>
        <v>432248</v>
      </c>
      <c r="F271" s="30" t="s">
        <v>9</v>
      </c>
      <c r="G271" s="30">
        <f>405474+571768</f>
        <v>977242</v>
      </c>
      <c r="H271" s="63"/>
    </row>
    <row r="272" spans="1:8" ht="15" customHeight="1" x14ac:dyDescent="0.2">
      <c r="A272" s="7" t="s">
        <v>68</v>
      </c>
      <c r="B272" s="31">
        <v>2015</v>
      </c>
      <c r="C272" s="41">
        <f>(1.449*10^9+7.034*10^5+8.969*10^7)/3600000</f>
        <v>427.60927777777778</v>
      </c>
      <c r="D272" s="32">
        <v>50668.686999999998</v>
      </c>
      <c r="E272" s="32">
        <v>221557.796</v>
      </c>
      <c r="F272" s="31" t="s">
        <v>9</v>
      </c>
      <c r="G272" s="31" t="s">
        <v>9</v>
      </c>
      <c r="H272" s="62"/>
    </row>
    <row r="273" spans="1:17" ht="15" customHeight="1" x14ac:dyDescent="0.2">
      <c r="A273" s="5" t="s">
        <v>68</v>
      </c>
      <c r="B273" s="30">
        <v>2016</v>
      </c>
      <c r="C273" s="42">
        <f>(1.547*10^9+8.575*10^7+7.034*10^5)/3600000</f>
        <v>453.73705555555557</v>
      </c>
      <c r="D273" s="33">
        <v>51584.826999999997</v>
      </c>
      <c r="E273" s="33">
        <v>238436.6</v>
      </c>
      <c r="F273" s="30" t="s">
        <v>9</v>
      </c>
      <c r="G273" s="30" t="s">
        <v>9</v>
      </c>
      <c r="H273" s="63"/>
    </row>
    <row r="274" spans="1:17" ht="15" customHeight="1" x14ac:dyDescent="0.2">
      <c r="A274" s="5" t="s">
        <v>68</v>
      </c>
      <c r="B274" s="30">
        <v>2017</v>
      </c>
      <c r="C274" s="42">
        <f>(2.073*10^9+1.371*10^8+2.462*10^6)/3600000</f>
        <v>614.6005555555555</v>
      </c>
      <c r="D274" s="30">
        <v>61287</v>
      </c>
      <c r="E274" s="30">
        <v>315141</v>
      </c>
      <c r="F274" s="30" t="s">
        <v>9</v>
      </c>
      <c r="G274" s="30" t="s">
        <v>9</v>
      </c>
      <c r="H274" s="63"/>
    </row>
    <row r="275" spans="1:17" ht="15" customHeight="1" x14ac:dyDescent="0.2">
      <c r="A275" s="5" t="s">
        <v>68</v>
      </c>
      <c r="B275" s="30">
        <v>2018</v>
      </c>
      <c r="C275" s="42">
        <v>689.53800000000001</v>
      </c>
      <c r="D275" s="30">
        <v>78312</v>
      </c>
      <c r="E275" s="30">
        <v>369904</v>
      </c>
      <c r="F275" s="30">
        <f>369904</f>
        <v>369904</v>
      </c>
      <c r="G275" s="30">
        <f>271507+226+113+1058+2294+20570+114291</f>
        <v>410059</v>
      </c>
      <c r="H275" s="63"/>
    </row>
    <row r="276" spans="1:17" ht="15" customHeight="1" x14ac:dyDescent="0.2">
      <c r="A276" s="5" t="s">
        <v>68</v>
      </c>
      <c r="B276" s="30">
        <v>2019</v>
      </c>
      <c r="C276" s="42">
        <v>794.68100000000004</v>
      </c>
      <c r="D276" s="30">
        <v>88701</v>
      </c>
      <c r="E276" s="30">
        <v>390021</v>
      </c>
      <c r="F276" s="30">
        <f>478722-D276</f>
        <v>390021</v>
      </c>
      <c r="G276" s="30">
        <f>659064+185+131+1307+2147+120552+118907</f>
        <v>902293</v>
      </c>
      <c r="H276" s="63"/>
    </row>
    <row r="277" spans="1:17" ht="15" customHeight="1" x14ac:dyDescent="0.2">
      <c r="A277" s="5" t="s">
        <v>68</v>
      </c>
      <c r="B277" s="30">
        <v>2020</v>
      </c>
      <c r="C277" s="42">
        <v>812.71199999999999</v>
      </c>
      <c r="D277" s="30">
        <v>90327</v>
      </c>
      <c r="E277" s="30">
        <v>379417</v>
      </c>
      <c r="F277" s="30">
        <f>469744-D277</f>
        <v>379417</v>
      </c>
      <c r="G277" s="30">
        <f>1151865</f>
        <v>1151865</v>
      </c>
      <c r="H277" s="63"/>
    </row>
    <row r="278" spans="1:17" ht="15" customHeight="1" x14ac:dyDescent="0.2">
      <c r="A278" s="5" t="s">
        <v>68</v>
      </c>
      <c r="B278" s="30">
        <v>2021</v>
      </c>
      <c r="C278" s="42">
        <v>826.279</v>
      </c>
      <c r="D278" s="30">
        <v>56409</v>
      </c>
      <c r="E278" s="30">
        <v>373639</v>
      </c>
      <c r="F278" s="30">
        <f>431353-D278</f>
        <v>374944</v>
      </c>
      <c r="G278" s="30">
        <v>972973</v>
      </c>
      <c r="H278" s="63"/>
    </row>
    <row r="279" spans="1:17" ht="15" customHeight="1" x14ac:dyDescent="0.2">
      <c r="A279" s="5" t="s">
        <v>68</v>
      </c>
      <c r="B279" s="30">
        <v>2022</v>
      </c>
      <c r="C279" s="42">
        <v>831.86199999999997</v>
      </c>
      <c r="D279" s="30">
        <v>59788</v>
      </c>
      <c r="E279" s="30">
        <v>381166</v>
      </c>
      <c r="F279" s="30">
        <f>444965-D279</f>
        <v>385177</v>
      </c>
      <c r="G279" s="30">
        <v>940525</v>
      </c>
      <c r="H279" s="63"/>
    </row>
    <row r="280" spans="1:17" ht="15" customHeight="1" x14ac:dyDescent="0.2">
      <c r="A280" s="5" t="s">
        <v>68</v>
      </c>
      <c r="B280" s="30">
        <v>2023</v>
      </c>
      <c r="C280" s="42">
        <f>857.068</f>
        <v>857.06799999999998</v>
      </c>
      <c r="D280" s="30">
        <v>56654</v>
      </c>
      <c r="E280" s="30">
        <f>373670</f>
        <v>373670</v>
      </c>
      <c r="F280" s="30">
        <f>442354-D280</f>
        <v>385700</v>
      </c>
      <c r="G280" s="30">
        <v>816878</v>
      </c>
      <c r="H280" s="63"/>
    </row>
    <row r="281" spans="1:17" ht="15" customHeight="1" x14ac:dyDescent="0.2">
      <c r="A281" s="5" t="s">
        <v>68</v>
      </c>
      <c r="B281" s="30">
        <v>2024</v>
      </c>
      <c r="C281" s="42">
        <v>895.3</v>
      </c>
      <c r="D281" s="30">
        <v>39063</v>
      </c>
      <c r="E281" s="30">
        <v>370075</v>
      </c>
      <c r="F281" s="30">
        <v>386774</v>
      </c>
      <c r="G281" s="30">
        <v>817588</v>
      </c>
      <c r="H281" s="70"/>
    </row>
    <row r="282" spans="1:17" ht="15" customHeight="1" x14ac:dyDescent="0.2">
      <c r="A282" s="7" t="s">
        <v>69</v>
      </c>
      <c r="B282" s="31">
        <v>2015</v>
      </c>
      <c r="C282" s="41" t="s">
        <v>9</v>
      </c>
      <c r="D282" s="41" t="s">
        <v>9</v>
      </c>
      <c r="E282" s="41" t="s">
        <v>9</v>
      </c>
      <c r="F282" s="41" t="s">
        <v>9</v>
      </c>
      <c r="G282" s="41" t="s">
        <v>9</v>
      </c>
      <c r="H282" s="71" t="s">
        <v>32</v>
      </c>
    </row>
    <row r="283" spans="1:17" ht="15" customHeight="1" x14ac:dyDescent="0.2">
      <c r="A283" s="5" t="s">
        <v>69</v>
      </c>
      <c r="B283" s="30">
        <v>2016</v>
      </c>
      <c r="C283" s="42" t="s">
        <v>9</v>
      </c>
      <c r="D283" s="42" t="s">
        <v>9</v>
      </c>
      <c r="E283" s="42" t="s">
        <v>9</v>
      </c>
      <c r="F283" s="42" t="s">
        <v>9</v>
      </c>
      <c r="G283" s="42" t="s">
        <v>9</v>
      </c>
      <c r="H283" s="72"/>
      <c r="I283" s="2"/>
      <c r="J283" s="2"/>
      <c r="K283" s="2"/>
      <c r="L283" s="2"/>
      <c r="M283" s="2"/>
      <c r="N283" s="2"/>
      <c r="Q283" s="15"/>
    </row>
    <row r="284" spans="1:17" ht="15" customHeight="1" x14ac:dyDescent="0.2">
      <c r="A284" s="5" t="s">
        <v>69</v>
      </c>
      <c r="B284" s="30">
        <v>2017</v>
      </c>
      <c r="C284" s="42" t="s">
        <v>9</v>
      </c>
      <c r="D284" s="42" t="s">
        <v>9</v>
      </c>
      <c r="E284" s="42" t="s">
        <v>9</v>
      </c>
      <c r="F284" s="42" t="s">
        <v>9</v>
      </c>
      <c r="G284" s="42" t="s">
        <v>9</v>
      </c>
      <c r="H284" s="72"/>
      <c r="I284" s="2"/>
      <c r="J284" s="2"/>
      <c r="K284" s="2"/>
      <c r="L284" s="2"/>
      <c r="M284" s="2"/>
      <c r="N284" s="2"/>
      <c r="Q284" s="15"/>
    </row>
    <row r="285" spans="1:17" ht="15" customHeight="1" x14ac:dyDescent="0.2">
      <c r="A285" s="5" t="s">
        <v>69</v>
      </c>
      <c r="B285" s="30">
        <v>2018</v>
      </c>
      <c r="C285" s="42" t="s">
        <v>9</v>
      </c>
      <c r="D285" s="42" t="s">
        <v>9</v>
      </c>
      <c r="E285" s="42" t="s">
        <v>9</v>
      </c>
      <c r="F285" s="42" t="s">
        <v>9</v>
      </c>
      <c r="G285" s="42" t="s">
        <v>9</v>
      </c>
      <c r="H285" s="72"/>
      <c r="I285" s="2"/>
      <c r="J285" s="2"/>
      <c r="K285" s="2"/>
      <c r="L285" s="2"/>
      <c r="M285" s="2"/>
      <c r="N285" s="2"/>
      <c r="Q285" s="15"/>
    </row>
    <row r="286" spans="1:17" ht="15" customHeight="1" x14ac:dyDescent="0.2">
      <c r="A286" s="5" t="s">
        <v>69</v>
      </c>
      <c r="B286" s="30">
        <v>2019</v>
      </c>
      <c r="C286" s="42" t="s">
        <v>9</v>
      </c>
      <c r="D286" s="30">
        <v>141090</v>
      </c>
      <c r="E286" s="30">
        <v>170963</v>
      </c>
      <c r="F286" s="30" t="s">
        <v>9</v>
      </c>
      <c r="G286" s="30" t="s">
        <v>9</v>
      </c>
      <c r="H286" s="72"/>
      <c r="I286" s="2"/>
      <c r="J286" s="2"/>
      <c r="K286" s="2"/>
      <c r="L286" s="2"/>
      <c r="M286" s="2"/>
      <c r="N286" s="2"/>
      <c r="Q286" s="15"/>
    </row>
    <row r="287" spans="1:17" ht="15" customHeight="1" x14ac:dyDescent="0.2">
      <c r="A287" s="5" t="s">
        <v>69</v>
      </c>
      <c r="B287" s="30">
        <v>2020</v>
      </c>
      <c r="C287" s="42">
        <f>88043*0.01163</f>
        <v>1023.9400899999999</v>
      </c>
      <c r="D287" s="30">
        <v>122241</v>
      </c>
      <c r="E287" s="30">
        <v>174291</v>
      </c>
      <c r="F287" s="30" t="s">
        <v>9</v>
      </c>
      <c r="G287" s="30" t="s">
        <v>9</v>
      </c>
      <c r="H287" s="72"/>
      <c r="I287" s="2"/>
      <c r="J287" s="2"/>
      <c r="K287" s="2"/>
      <c r="L287" s="2"/>
      <c r="M287" s="2"/>
      <c r="N287" s="2"/>
      <c r="Q287" s="15"/>
    </row>
    <row r="288" spans="1:17" ht="15" customHeight="1" x14ac:dyDescent="0.2">
      <c r="A288" s="5" t="s">
        <v>69</v>
      </c>
      <c r="B288" s="30">
        <v>2021</v>
      </c>
      <c r="C288" s="42">
        <f>89956*0.01163</f>
        <v>1046.1882800000001</v>
      </c>
      <c r="D288" s="30">
        <v>109347</v>
      </c>
      <c r="E288" s="30">
        <v>175053</v>
      </c>
      <c r="F288" s="30" t="s">
        <v>9</v>
      </c>
      <c r="G288" s="30" t="s">
        <v>9</v>
      </c>
      <c r="H288" s="72"/>
      <c r="I288" s="2"/>
      <c r="J288" s="2"/>
      <c r="K288" s="2"/>
      <c r="L288" s="2"/>
      <c r="M288" s="2"/>
      <c r="N288" s="2"/>
      <c r="Q288" s="15"/>
    </row>
    <row r="289" spans="1:17" ht="15" customHeight="1" x14ac:dyDescent="0.2">
      <c r="A289" s="5" t="s">
        <v>69</v>
      </c>
      <c r="B289" s="30">
        <v>2022</v>
      </c>
      <c r="C289" s="42">
        <f>91992*0.01163</f>
        <v>1069.8669600000001</v>
      </c>
      <c r="D289" s="30">
        <v>106657</v>
      </c>
      <c r="E289" s="30">
        <v>179465</v>
      </c>
      <c r="F289" s="30" t="s">
        <v>9</v>
      </c>
      <c r="G289" s="30" t="s">
        <v>9</v>
      </c>
      <c r="H289" s="72"/>
      <c r="I289" s="2"/>
      <c r="J289" s="2"/>
      <c r="K289" s="2"/>
      <c r="L289" s="2"/>
      <c r="M289" s="2"/>
      <c r="N289" s="2"/>
      <c r="Q289" s="15"/>
    </row>
    <row r="290" spans="1:17" ht="15" customHeight="1" x14ac:dyDescent="0.2">
      <c r="A290" s="5" t="s">
        <v>69</v>
      </c>
      <c r="B290" s="30">
        <v>2023</v>
      </c>
      <c r="C290" s="42">
        <f>94174*0.01163</f>
        <v>1095.24362</v>
      </c>
      <c r="D290" s="30">
        <v>88625</v>
      </c>
      <c r="E290" s="30">
        <v>182823</v>
      </c>
      <c r="F290" s="30" t="s">
        <v>9</v>
      </c>
      <c r="G290" s="30" t="s">
        <v>9</v>
      </c>
      <c r="H290" s="72"/>
      <c r="I290" s="2"/>
      <c r="J290" s="2"/>
      <c r="K290" s="2"/>
      <c r="L290" s="2"/>
      <c r="M290" s="2"/>
      <c r="N290" s="2"/>
      <c r="Q290" s="15"/>
    </row>
    <row r="291" spans="1:17" ht="15" customHeight="1" x14ac:dyDescent="0.2">
      <c r="A291" s="6" t="s">
        <v>69</v>
      </c>
      <c r="B291" s="43">
        <v>2024</v>
      </c>
      <c r="C291" s="44">
        <f>91992*0.01163</f>
        <v>1069.8669600000001</v>
      </c>
      <c r="D291" s="43">
        <v>89869</v>
      </c>
      <c r="E291" s="43">
        <v>188433</v>
      </c>
      <c r="F291" s="43" t="s">
        <v>9</v>
      </c>
      <c r="G291" s="43" t="s">
        <v>9</v>
      </c>
      <c r="H291" s="71"/>
      <c r="I291" s="2"/>
      <c r="J291" s="2"/>
      <c r="K291" s="2"/>
      <c r="L291" s="2"/>
      <c r="M291" s="2"/>
      <c r="N291" s="2"/>
      <c r="Q291" s="15"/>
    </row>
    <row r="292" spans="1:17" ht="15" customHeight="1" x14ac:dyDescent="0.2">
      <c r="I292" s="2"/>
      <c r="J292" s="2"/>
      <c r="K292" s="2"/>
      <c r="L292" s="2"/>
      <c r="M292" s="2"/>
      <c r="N292" s="2"/>
      <c r="Q292" s="15"/>
    </row>
    <row r="293" spans="1:17" ht="15" customHeight="1" x14ac:dyDescent="0.2">
      <c r="A293" s="2"/>
      <c r="C293" s="3"/>
      <c r="D293" s="3"/>
      <c r="E293" s="15"/>
      <c r="F293" s="3"/>
      <c r="G293" s="3"/>
    </row>
    <row r="294" spans="1:17" ht="15" customHeight="1" x14ac:dyDescent="0.2">
      <c r="A294" s="2"/>
      <c r="C294" s="3"/>
      <c r="D294" s="3"/>
      <c r="E294" s="15"/>
      <c r="F294" s="3"/>
      <c r="G294" s="3"/>
      <c r="J294" s="3"/>
    </row>
    <row r="295" spans="1:17" ht="15" customHeight="1" x14ac:dyDescent="0.2">
      <c r="A295" s="2"/>
      <c r="C295" s="3"/>
      <c r="D295" s="3"/>
      <c r="E295" s="15"/>
      <c r="F295" s="3"/>
      <c r="G295" s="3"/>
      <c r="J295" s="3"/>
    </row>
    <row r="296" spans="1:17" ht="15" customHeight="1" x14ac:dyDescent="0.2">
      <c r="A296" s="2"/>
      <c r="C296" s="3"/>
      <c r="D296" s="3"/>
      <c r="E296" s="15"/>
      <c r="F296" s="3"/>
      <c r="G296" s="3"/>
      <c r="J296" s="3"/>
    </row>
    <row r="297" spans="1:17" ht="15" customHeight="1" x14ac:dyDescent="0.2">
      <c r="J297" s="3"/>
    </row>
  </sheetData>
  <autoFilter ref="A1:G280" xr:uid="{00000000-0009-0000-0000-000000000000}"/>
  <mergeCells count="43">
    <mergeCell ref="H272:H281"/>
    <mergeCell ref="H282:H291"/>
    <mergeCell ref="H222:H231"/>
    <mergeCell ref="H232:H241"/>
    <mergeCell ref="H242:H251"/>
    <mergeCell ref="H252:H261"/>
    <mergeCell ref="H262:H271"/>
    <mergeCell ref="H102:H111"/>
    <mergeCell ref="H112:H121"/>
    <mergeCell ref="H122:H131"/>
    <mergeCell ref="H132:H141"/>
    <mergeCell ref="H142:H151"/>
    <mergeCell ref="H52:H61"/>
    <mergeCell ref="H62:H71"/>
    <mergeCell ref="H72:H81"/>
    <mergeCell ref="H82:H91"/>
    <mergeCell ref="H92:H101"/>
    <mergeCell ref="H2:H11"/>
    <mergeCell ref="H12:H21"/>
    <mergeCell ref="H22:H31"/>
    <mergeCell ref="H32:H41"/>
    <mergeCell ref="H42:H51"/>
    <mergeCell ref="H152:H161"/>
    <mergeCell ref="K217:N217"/>
    <mergeCell ref="K216:N216"/>
    <mergeCell ref="K215:N215"/>
    <mergeCell ref="H162:H171"/>
    <mergeCell ref="H172:H181"/>
    <mergeCell ref="H182:H191"/>
    <mergeCell ref="H192:H201"/>
    <mergeCell ref="H202:H211"/>
    <mergeCell ref="H212:H221"/>
    <mergeCell ref="X201:Z201"/>
    <mergeCell ref="L201:N201"/>
    <mergeCell ref="O201:Q201"/>
    <mergeCell ref="K200:Z200"/>
    <mergeCell ref="R213:T213"/>
    <mergeCell ref="U213:W213"/>
    <mergeCell ref="X213:Z213"/>
    <mergeCell ref="R201:T201"/>
    <mergeCell ref="U201:W201"/>
    <mergeCell ref="L213:N213"/>
    <mergeCell ref="O213:Q213"/>
  </mergeCells>
  <pageMargins left="0.7" right="0.7" top="0.75" bottom="0.75" header="0.511811023622047" footer="0.511811023622047"/>
  <pageSetup paperSize="9" orientation="portrait" horizontalDpi="300" verticalDpi="300"/>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kument" ma:contentTypeID="0x010100471628D43CD6734B9C1D584CFC393C45" ma:contentTypeVersion="16" ma:contentTypeDescription="Ein neues Dokument erstellen." ma:contentTypeScope="" ma:versionID="073a335aa3a2b4c858d14e3d59b00150">
  <xsd:schema xmlns:xsd="http://www.w3.org/2001/XMLSchema" xmlns:xs="http://www.w3.org/2001/XMLSchema" xmlns:p="http://schemas.microsoft.com/office/2006/metadata/properties" xmlns:ns2="9109263d-fa99-43e2-bfd2-51e92a8bfa12" xmlns:ns3="5ca91e53-7481-4189-bcc6-f92b0fd2fb15" targetNamespace="http://schemas.microsoft.com/office/2006/metadata/properties" ma:root="true" ma:fieldsID="8a18fa9c547d9a4eca364c420c079fd0" ns2:_="" ns3:_="">
    <xsd:import namespace="9109263d-fa99-43e2-bfd2-51e92a8bfa12"/>
    <xsd:import namespace="5ca91e53-7481-4189-bcc6-f92b0fd2fb1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109263d-fa99-43e2-bfd2-51e92a8bfa1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Bildmarkierungen" ma:readOnly="false" ma:fieldId="{5cf76f15-5ced-4ddc-b409-7134ff3c332f}" ma:taxonomyMulti="true" ma:sspId="250683a7-de6e-4912-9a85-d0f64ea2c49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ca91e53-7481-4189-bcc6-f92b0fd2fb15" elementFormDefault="qualified">
    <xsd:import namespace="http://schemas.microsoft.com/office/2006/documentManagement/types"/>
    <xsd:import namespace="http://schemas.microsoft.com/office/infopath/2007/PartnerControls"/>
    <xsd:element name="SharedWithUsers" ma:index="17"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Freigegeben für - Details" ma:internalName="SharedWithDetails" ma:readOnly="true">
      <xsd:simpleType>
        <xsd:restriction base="dms:Note">
          <xsd:maxLength value="255"/>
        </xsd:restriction>
      </xsd:simpleType>
    </xsd:element>
    <xsd:element name="TaxCatchAll" ma:index="21" nillable="true" ma:displayName="Taxonomy Catch All Column" ma:hidden="true" ma:list="{1ed15d18-96bc-4337-996a-6765d38370ad}" ma:internalName="TaxCatchAll" ma:showField="CatchAllData" ma:web="5ca91e53-7481-4189-bcc6-f92b0fd2fb1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109263d-fa99-43e2-bfd2-51e92a8bfa12">
      <Terms xmlns="http://schemas.microsoft.com/office/infopath/2007/PartnerControls"/>
    </lcf76f155ced4ddcb4097134ff3c332f>
    <TaxCatchAll xmlns="5ca91e53-7481-4189-bcc6-f92b0fd2fb15" xsi:nil="true"/>
  </documentManagement>
</p:properties>
</file>

<file path=customXml/itemProps1.xml><?xml version="1.0" encoding="utf-8"?>
<ds:datastoreItem xmlns:ds="http://schemas.openxmlformats.org/officeDocument/2006/customXml" ds:itemID="{184B97EB-C700-4B56-9355-349FF8C8833B}">
  <ds:schemaRefs>
    <ds:schemaRef ds:uri="http://schemas.microsoft.com/sharepoint/v3/contenttype/forms"/>
  </ds:schemaRefs>
</ds:datastoreItem>
</file>

<file path=customXml/itemProps2.xml><?xml version="1.0" encoding="utf-8"?>
<ds:datastoreItem xmlns:ds="http://schemas.openxmlformats.org/officeDocument/2006/customXml" ds:itemID="{1F991F7E-F5F1-4D97-A9E0-A9B8094E7FA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109263d-fa99-43e2-bfd2-51e92a8bfa12"/>
    <ds:schemaRef ds:uri="5ca91e53-7481-4189-bcc6-f92b0fd2fb1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FD708A7-DD05-4188-8FAC-AC895491E485}">
  <ds:schemaRefs>
    <ds:schemaRef ds:uri="http://schemas.openxmlformats.org/package/2006/metadata/core-properties"/>
    <ds:schemaRef ds:uri="http://www.w3.org/XML/1998/namespace"/>
    <ds:schemaRef ds:uri="5ca91e53-7481-4189-bcc6-f92b0fd2fb15"/>
    <ds:schemaRef ds:uri="http://schemas.microsoft.com/office/2006/documentManagement/types"/>
    <ds:schemaRef ds:uri="http://schemas.microsoft.com/office/infopath/2007/PartnerControls"/>
    <ds:schemaRef ds:uri="http://purl.org/dc/dcmitype/"/>
    <ds:schemaRef ds:uri="http://purl.org/dc/elements/1.1/"/>
    <ds:schemaRef ds:uri="http://purl.org/dc/terms/"/>
    <ds:schemaRef ds:uri="9109263d-fa99-43e2-bfd2-51e92a8bfa12"/>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interface 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2025-03-12T18:02:39Z</dcterms:created>
  <dcterms:modified xsi:type="dcterms:W3CDTF">2026-01-09T10:18:25Z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0x010100471628D43CD6734B9C1D584CFC393C45</vt:lpwstr>
  </property>
</Properties>
</file>